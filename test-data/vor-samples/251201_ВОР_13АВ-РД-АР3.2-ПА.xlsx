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bubnov.a.a\Desktop\Documents — копия\ЖК Алия\1. Архитектурные решения\ПА\Кровля\ВОР\"/>
    </mc:Choice>
  </mc:AlternateContent>
  <xr:revisionPtr revIDLastSave="0" documentId="13_ncr:1_{71B05C4C-2029-41BC-940C-B7DC7A5A7BBA}" xr6:coauthVersionLast="47" xr6:coauthVersionMax="47" xr10:uidLastSave="{00000000-0000-0000-0000-000000000000}"/>
  <workbookProtection workbookAlgorithmName="SHA-512" workbookHashValue="/7G9dfBtAoFnRhziGsmxducx1CNFV6miZp22HrorAzXUvmfLXopQAGaQMb8X+Ps/uFw7aq0LRpC+qPh5GYw+PQ==" workbookSaltValue="AASeeBNVzRguLsXhJabBvQ==" workbookSpinCount="100000" lockStructure="1"/>
  <bookViews>
    <workbookView xWindow="-120" yWindow="-120" windowWidth="29040" windowHeight="15720" xr2:uid="{00000000-000D-0000-FFFF-FFFF00000000}"/>
  </bookViews>
  <sheets>
    <sheet name="КП" sheetId="1" r:id="rId1"/>
    <sheet name="БСМ" sheetId="2" r:id="rId2"/>
  </sheets>
  <definedNames>
    <definedName name="_xlnm._FilterDatabase" localSheetId="0" hidden="1">КП!$A$16:$O$81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N80" i="1" s="1"/>
  <c r="M17" i="1"/>
  <c r="L17" i="1"/>
  <c r="M80" i="1"/>
  <c r="L80" i="1"/>
  <c r="M75" i="1"/>
  <c r="N75" i="1"/>
  <c r="L75" i="1"/>
  <c r="G79" i="1"/>
  <c r="M78" i="1"/>
  <c r="I78" i="1"/>
  <c r="L78" i="1" s="1"/>
  <c r="N78" i="1" s="1"/>
  <c r="G77" i="1"/>
  <c r="M76" i="1"/>
  <c r="I76" i="1"/>
  <c r="L76" i="1" s="1"/>
  <c r="D13" i="2"/>
  <c r="K78" i="1" l="1"/>
  <c r="N76" i="1"/>
  <c r="K76" i="1"/>
  <c r="G74" i="1"/>
  <c r="I73" i="1" s="1"/>
  <c r="L73" i="1" s="1"/>
  <c r="M73" i="1"/>
  <c r="G72" i="1"/>
  <c r="I71" i="1" s="1"/>
  <c r="K71" i="1" s="1"/>
  <c r="M71" i="1"/>
  <c r="G70" i="1"/>
  <c r="I69" i="1" s="1"/>
  <c r="L69" i="1" s="1"/>
  <c r="M69" i="1"/>
  <c r="G68" i="1"/>
  <c r="I67" i="1" s="1"/>
  <c r="K67" i="1" s="1"/>
  <c r="M67" i="1"/>
  <c r="G66" i="1"/>
  <c r="I65" i="1" s="1"/>
  <c r="L65" i="1" s="1"/>
  <c r="M65" i="1"/>
  <c r="G57" i="1"/>
  <c r="I56" i="1" s="1"/>
  <c r="L56" i="1" s="1"/>
  <c r="G41" i="1"/>
  <c r="I40" i="1" s="1"/>
  <c r="L40" i="1" s="1"/>
  <c r="G63" i="1"/>
  <c r="I62" i="1" s="1"/>
  <c r="K62" i="1" s="1"/>
  <c r="M62" i="1"/>
  <c r="G52" i="1"/>
  <c r="G43" i="1"/>
  <c r="I42" i="1" s="1"/>
  <c r="K42" i="1" s="1"/>
  <c r="M42" i="1"/>
  <c r="G29" i="1"/>
  <c r="I28" i="1" s="1"/>
  <c r="M28" i="1"/>
  <c r="G27" i="1"/>
  <c r="I26" i="1" s="1"/>
  <c r="M26" i="1"/>
  <c r="G25" i="1"/>
  <c r="I24" i="1" s="1"/>
  <c r="M24" i="1"/>
  <c r="G23" i="1"/>
  <c r="G22" i="1"/>
  <c r="M21" i="1"/>
  <c r="G20" i="1"/>
  <c r="I19" i="1" s="1"/>
  <c r="G61" i="1"/>
  <c r="I60" i="1" s="1"/>
  <c r="K60" i="1" s="1"/>
  <c r="M60" i="1"/>
  <c r="G59" i="1"/>
  <c r="I58" i="1" s="1"/>
  <c r="L58" i="1" s="1"/>
  <c r="M58" i="1"/>
  <c r="M56" i="1"/>
  <c r="G55" i="1"/>
  <c r="I54" i="1" s="1"/>
  <c r="L54" i="1" s="1"/>
  <c r="M54" i="1"/>
  <c r="G53" i="1"/>
  <c r="M51" i="1"/>
  <c r="G50" i="1"/>
  <c r="I49" i="1" s="1"/>
  <c r="L49" i="1" s="1"/>
  <c r="M49" i="1"/>
  <c r="G47" i="1"/>
  <c r="I46" i="1" s="1"/>
  <c r="L46" i="1" s="1"/>
  <c r="M46" i="1"/>
  <c r="G45" i="1"/>
  <c r="I44" i="1" s="1"/>
  <c r="K44" i="1" s="1"/>
  <c r="M44" i="1"/>
  <c r="M40" i="1"/>
  <c r="G39" i="1"/>
  <c r="I38" i="1" s="1"/>
  <c r="L38" i="1" s="1"/>
  <c r="M38" i="1"/>
  <c r="G37" i="1"/>
  <c r="G36" i="1"/>
  <c r="M35" i="1"/>
  <c r="G34" i="1"/>
  <c r="I33" i="1" s="1"/>
  <c r="M33" i="1"/>
  <c r="G31" i="1"/>
  <c r="I30" i="1" s="1"/>
  <c r="K30" i="1" s="1"/>
  <c r="M30" i="1"/>
  <c r="M19" i="1"/>
  <c r="I35" i="1" l="1"/>
  <c r="N73" i="1"/>
  <c r="N69" i="1"/>
  <c r="K35" i="1"/>
  <c r="I51" i="1"/>
  <c r="L51" i="1" s="1"/>
  <c r="N51" i="1" s="1"/>
  <c r="I21" i="1"/>
  <c r="K21" i="1" s="1"/>
  <c r="N65" i="1"/>
  <c r="M64" i="1"/>
  <c r="L67" i="1"/>
  <c r="N67" i="1" s="1"/>
  <c r="L71" i="1"/>
  <c r="N71" i="1" s="1"/>
  <c r="K65" i="1"/>
  <c r="K69" i="1"/>
  <c r="K73" i="1"/>
  <c r="N46" i="1"/>
  <c r="N38" i="1"/>
  <c r="N58" i="1"/>
  <c r="N54" i="1"/>
  <c r="N56" i="1"/>
  <c r="L42" i="1"/>
  <c r="N42" i="1" s="1"/>
  <c r="K24" i="1"/>
  <c r="L24" i="1"/>
  <c r="N24" i="1" s="1"/>
  <c r="L26" i="1"/>
  <c r="N26" i="1" s="1"/>
  <c r="K26" i="1"/>
  <c r="K28" i="1"/>
  <c r="L28" i="1"/>
  <c r="N28" i="1" s="1"/>
  <c r="L62" i="1"/>
  <c r="N62" i="1" s="1"/>
  <c r="K19" i="1"/>
  <c r="N49" i="1"/>
  <c r="K56" i="1"/>
  <c r="L60" i="1"/>
  <c r="N60" i="1" s="1"/>
  <c r="K49" i="1"/>
  <c r="K54" i="1"/>
  <c r="K58" i="1"/>
  <c r="N40" i="1"/>
  <c r="M18" i="1"/>
  <c r="K33" i="1"/>
  <c r="L33" i="1"/>
  <c r="L35" i="1"/>
  <c r="N35" i="1" s="1"/>
  <c r="K40" i="1"/>
  <c r="K46" i="1"/>
  <c r="L44" i="1"/>
  <c r="N44" i="1" s="1"/>
  <c r="K38" i="1"/>
  <c r="L19" i="1"/>
  <c r="N19" i="1" s="1"/>
  <c r="L30" i="1"/>
  <c r="N30" i="1" s="1"/>
  <c r="K51" i="1" l="1"/>
  <c r="L21" i="1"/>
  <c r="N21" i="1" s="1"/>
  <c r="N64" i="1"/>
  <c r="L64" i="1"/>
  <c r="N48" i="1"/>
  <c r="N33" i="1"/>
  <c r="N32" i="1" s="1"/>
  <c r="L18" i="1"/>
  <c r="D5" i="2"/>
  <c r="D6" i="2"/>
  <c r="D7" i="2"/>
  <c r="D8" i="2"/>
  <c r="D9" i="2"/>
  <c r="D10" i="2"/>
  <c r="D11" i="2"/>
  <c r="D12" i="2"/>
  <c r="D4" i="2"/>
  <c r="N17" i="1" l="1"/>
  <c r="M32" i="1"/>
  <c r="L32" i="1"/>
  <c r="L48" i="1"/>
  <c r="M48" i="1"/>
  <c r="N81" i="1" l="1"/>
  <c r="M81" i="1"/>
  <c r="L81" i="1" l="1"/>
</calcChain>
</file>

<file path=xl/sharedStrings.xml><?xml version="1.0" encoding="utf-8"?>
<sst xmlns="http://schemas.openxmlformats.org/spreadsheetml/2006/main" count="369" uniqueCount="179">
  <si>
    <t>№ п/п</t>
  </si>
  <si>
    <t>КОД</t>
  </si>
  <si>
    <t>Наименование затрат</t>
  </si>
  <si>
    <t>Ед. изм.</t>
  </si>
  <si>
    <t>Объем по виду работ</t>
  </si>
  <si>
    <t>Общий расход по материалу</t>
  </si>
  <si>
    <t>Общая стоимость,
руб. с НДС</t>
  </si>
  <si>
    <t>Материалы/
оборудование</t>
  </si>
  <si>
    <t>СМР, ПНР</t>
  </si>
  <si>
    <t>Работа</t>
  </si>
  <si>
    <t>Мат</t>
  </si>
  <si>
    <t>ИТОГО с НДС</t>
  </si>
  <si>
    <t>в т.ч. НДС</t>
  </si>
  <si>
    <t>Вид затрат</t>
  </si>
  <si>
    <t>Предмет тендера:</t>
  </si>
  <si>
    <t>Объект:</t>
  </si>
  <si>
    <t>Адрес объекта:</t>
  </si>
  <si>
    <t>Наименование контрагента</t>
  </si>
  <si>
    <t>ИНН</t>
  </si>
  <si>
    <t>Адрес (юр., факт.)</t>
  </si>
  <si>
    <t>м3</t>
  </si>
  <si>
    <t>Цена за единицу, руб. с НДС</t>
  </si>
  <si>
    <t>Стоимость ИТОГО, руб с НДС</t>
  </si>
  <si>
    <t>Цена за единицу ИТОГО, руб. с НДС</t>
  </si>
  <si>
    <t>Примечание к расчету</t>
  </si>
  <si>
    <t>Примечание участника тендера</t>
  </si>
  <si>
    <t>м2</t>
  </si>
  <si>
    <t>3.1</t>
  </si>
  <si>
    <t>3.3</t>
  </si>
  <si>
    <t>3.1.1</t>
  </si>
  <si>
    <t>Базовая стоимость ресурсов (материалов)</t>
  </si>
  <si>
    <t>Наименование материала</t>
  </si>
  <si>
    <t>ЦЕНА руб., с НДС/ед. с доставкой</t>
  </si>
  <si>
    <t>3.2</t>
  </si>
  <si>
    <t>3.4</t>
  </si>
  <si>
    <t>3.2.1</t>
  </si>
  <si>
    <t>3.3.1</t>
  </si>
  <si>
    <t>3.4.1</t>
  </si>
  <si>
    <t>!!!!!! В единичных расценках должно быть учтено:</t>
  </si>
  <si>
    <t>1. Оплата труда рабочих с отчислением всех налогов и сборов;</t>
  </si>
  <si>
    <t>2. Оплата необходимой для выполнения работ техники, с учетом траспортировки и её хранения</t>
  </si>
  <si>
    <t>3. Амортизационные отчисления на оборудование и оснастка для производства работ;</t>
  </si>
  <si>
    <t>5. Содержание инженерно-технического и административно-хозяйственного персонала;</t>
  </si>
  <si>
    <t>6. Содержание временных зданий и сооружений;</t>
  </si>
  <si>
    <t>7. Затраты на подготовку, оформление и сдачу исполнительной документации;</t>
  </si>
  <si>
    <t>8. Затраты на проведение необходимых испытаний и опробований;</t>
  </si>
  <si>
    <t>9. Затраты на возмещение потребленной электроэнергии и воды, если иное не предусмотрено в отдельном договоре подряда;</t>
  </si>
  <si>
    <t>10. Затраты на организацию и содержание безопасных условий труда, соблюдение техники безопасности и нормативно-правовых актов, действующих на территории РФ;</t>
  </si>
  <si>
    <t>11. Затраты на обучение и повышение квалификации персонала;</t>
  </si>
  <si>
    <t>12. Затраты на оплату необходимых сборов для соблюдения законодательства в рамках саморегулирования строительства;</t>
  </si>
  <si>
    <t>13. Затраты на оплату иных налогов и сборов, предусмотренных налоговым законодательством РФ;</t>
  </si>
  <si>
    <t>14. Затраты на оплату штрафов и компенсаций в случае несоблюдения требований нормативной документации, действующей на территории РФ;</t>
  </si>
  <si>
    <t>Квалификационная и контактная информация</t>
  </si>
  <si>
    <t>1</t>
  </si>
  <si>
    <t>Наличие авансирования</t>
  </si>
  <si>
    <t>да (%) /нет</t>
  </si>
  <si>
    <t>2</t>
  </si>
  <si>
    <t>Является ли ваша компания плательщиком НДС</t>
  </si>
  <si>
    <t>да/нет</t>
  </si>
  <si>
    <t>да /нет</t>
  </si>
  <si>
    <t>3</t>
  </si>
  <si>
    <t>Готовность приступить к работе по гарантийному письму</t>
  </si>
  <si>
    <t>да(банк) /нет</t>
  </si>
  <si>
    <t>4</t>
  </si>
  <si>
    <t>Срок исполнения предмета тендера</t>
  </si>
  <si>
    <t>мес.</t>
  </si>
  <si>
    <t>5</t>
  </si>
  <si>
    <t>Гарантийный срок 5 лет</t>
  </si>
  <si>
    <t>6</t>
  </si>
  <si>
    <t>Информация о посещении объекта (были/не были), вопросы по результатам посещения</t>
  </si>
  <si>
    <t>были/не были
да/нет</t>
  </si>
  <si>
    <t>8</t>
  </si>
  <si>
    <t>Готовность подписать договор в редакции Заказчика</t>
  </si>
  <si>
    <t>9</t>
  </si>
  <si>
    <t>Наличие СРО</t>
  </si>
  <si>
    <t>да (сумма) /нет</t>
  </si>
  <si>
    <t>10</t>
  </si>
  <si>
    <t>Численность работающих всего / численность, планируемая для выполнения предмета тендера</t>
  </si>
  <si>
    <t>кол-во/кол-во</t>
  </si>
  <si>
    <t>11</t>
  </si>
  <si>
    <t>Дата регистрации компании</t>
  </si>
  <si>
    <t>дд/мм/гг</t>
  </si>
  <si>
    <t>12</t>
  </si>
  <si>
    <t>год-сумма/год-сумма/год-сумма (руб.без НДС)</t>
  </si>
  <si>
    <t>13</t>
  </si>
  <si>
    <t>Сайт компании</t>
  </si>
  <si>
    <t>ссылка</t>
  </si>
  <si>
    <t>14</t>
  </si>
  <si>
    <t>Генеральный директор : Ф.И.О. полностью, тел., e-mail</t>
  </si>
  <si>
    <t>15</t>
  </si>
  <si>
    <t>Контактное лицо: Ф.И.О. полностью, тел., e-mail</t>
  </si>
  <si>
    <t>16</t>
  </si>
  <si>
    <t>Примечание к ТКП претендента</t>
  </si>
  <si>
    <t>Заполняются только ячейки, выделенные синим цветом. Менять формулы и объемы недопустимо.</t>
  </si>
  <si>
    <t>Устройство уклонообразующего слоя из керамзитобетона</t>
  </si>
  <si>
    <t>Сетка 4Вр-1-100х100</t>
  </si>
  <si>
    <t>Раствор М150</t>
  </si>
  <si>
    <t>Устройство утеплителя в 1 слой</t>
  </si>
  <si>
    <t>Устройство стяжки толщиной 50 мм</t>
  </si>
  <si>
    <t>Устройство изоляции горизонтальной в 2 слоя</t>
  </si>
  <si>
    <t xml:space="preserve">Устройство горизонтальной профилированной мембраны </t>
  </si>
  <si>
    <t>1.1</t>
  </si>
  <si>
    <t>1.1.1</t>
  </si>
  <si>
    <t>2.1</t>
  </si>
  <si>
    <t>2.1.1</t>
  </si>
  <si>
    <t>1.2</t>
  </si>
  <si>
    <t>1.3</t>
  </si>
  <si>
    <t>1.2.1</t>
  </si>
  <si>
    <t>1.3.1</t>
  </si>
  <si>
    <t>1.4</t>
  </si>
  <si>
    <t>1.4.1</t>
  </si>
  <si>
    <t>1.5.1</t>
  </si>
  <si>
    <t>1.5</t>
  </si>
  <si>
    <t>1.6</t>
  </si>
  <si>
    <t>1.6.1</t>
  </si>
  <si>
    <t>2.2</t>
  </si>
  <si>
    <t>2.2.1</t>
  </si>
  <si>
    <t>2.3</t>
  </si>
  <si>
    <t>2.3.1</t>
  </si>
  <si>
    <t>2.4</t>
  </si>
  <si>
    <t>2.4.1</t>
  </si>
  <si>
    <t>2.5</t>
  </si>
  <si>
    <t>2.5.1</t>
  </si>
  <si>
    <t>2.6</t>
  </si>
  <si>
    <t>2.6.1</t>
  </si>
  <si>
    <t>2.7</t>
  </si>
  <si>
    <t>2.7.1</t>
  </si>
  <si>
    <t>Огрунтовка поверхности</t>
  </si>
  <si>
    <t>Профилированная мембрана Planter geo - 10 мм</t>
  </si>
  <si>
    <t>Экструдированный пенополистирол Технониколь Carbon Prof 500 - 150 мм</t>
  </si>
  <si>
    <t>Керамзитобетон (керамзитовый гравий фр.20-40мм, П35, М250)</t>
  </si>
  <si>
    <t>Праймер Технониколь №1</t>
  </si>
  <si>
    <t>1.2.2</t>
  </si>
  <si>
    <t>Кровля подземной автостоянки в осях П24-П48</t>
  </si>
  <si>
    <t>г. Москва, вн.тер.г. муниципальный округ Покровское-Стрешнево, ул. Лётная, к/н 77:08:0015001:18981</t>
  </si>
  <si>
    <t>Многоквартирные жилые дома со встроенными нежилыми
помещениями и подземной автостоянкой, Блоки 13A и 13B</t>
  </si>
  <si>
    <t>2.2.2</t>
  </si>
  <si>
    <t>Устройство разделительного слоя</t>
  </si>
  <si>
    <t>Геотекстильное полотно Технониколь 500 г/м2</t>
  </si>
  <si>
    <t>Устройство изоляции горизонтальной в 1 слой</t>
  </si>
  <si>
    <t>Гидроизоляционная мембрана LOGICBASE V-SL</t>
  </si>
  <si>
    <t>Устройство уклонообразующего слоя из керамзитового гравия</t>
  </si>
  <si>
    <t>Керамзитовый гравий с фракцией 5-10 мм, плотностью М600</t>
  </si>
  <si>
    <t>3.5</t>
  </si>
  <si>
    <t>3.5.1</t>
  </si>
  <si>
    <t>3.6</t>
  </si>
  <si>
    <t>3.6.1</t>
  </si>
  <si>
    <t>3.7</t>
  </si>
  <si>
    <t>3.7.1</t>
  </si>
  <si>
    <t>3.2.2</t>
  </si>
  <si>
    <t>Устройство покрытия кровли Тип 1.1 (основная кровля)</t>
  </si>
  <si>
    <t>Устройство покрытия кровли Тип 1.2 (участки прилегающие к стенам и краям)</t>
  </si>
  <si>
    <t>Устройство покрытия кровли Тип 2 (кровля входных групп)</t>
  </si>
  <si>
    <t>Устройство покрытия кровли Тип 3 (кровля рампы)</t>
  </si>
  <si>
    <t>15. НДС 20%;</t>
  </si>
  <si>
    <t>16. Иные непредвиденные расходы.</t>
  </si>
  <si>
    <t>4.3</t>
  </si>
  <si>
    <t>4.3.1</t>
  </si>
  <si>
    <t>4.4</t>
  </si>
  <si>
    <t>4.1</t>
  </si>
  <si>
    <t>4.1.1</t>
  </si>
  <si>
    <t>4.2</t>
  </si>
  <si>
    <t>4.2.1</t>
  </si>
  <si>
    <t>4.4.1</t>
  </si>
  <si>
    <t>4.5</t>
  </si>
  <si>
    <t>4.5.1</t>
  </si>
  <si>
    <t>Устройство гидроизоляции кровли подземной автостоянки в осях П24-П48</t>
  </si>
  <si>
    <t>Техноэласт ЭПП</t>
  </si>
  <si>
    <t>4. Все основные и вспомогательные материалы, включая материалы для устройства узлов примыкания кровли к стенам, входным группам и витражам,</t>
  </si>
  <si>
    <t>узлов деформационных швов, узлов сопряжения покрытий, иных швов и примыканий ( в т.ч. вертикальных) с учетом транспортировки и хранения, если иное не предусмотрено в отдельном договоре подряда;</t>
  </si>
  <si>
    <t>Устройство кровельных воронок</t>
  </si>
  <si>
    <t>Монтаж кровельных воронок</t>
  </si>
  <si>
    <t>Водоприемная кровельная воронка с комплектом вспомогательных материалов в соотв. с узлом 4 рабочей документации</t>
  </si>
  <si>
    <t>шт</t>
  </si>
  <si>
    <t>Монтаж кровельных воронок с примыканием к лотку</t>
  </si>
  <si>
    <t>Водоприемная кровельная воронка с комплектом вспомогательных материалов в соотв. с узлом 5 рабочей документации</t>
  </si>
  <si>
    <t>Воронка кровельная водоприемная</t>
  </si>
  <si>
    <t>2022 - 
2023 -
2024 - руб. без НДС</t>
  </si>
  <si>
    <t>Оборот за последние 3 года (указать оборот (выручку) по данным бухгалтерской отчетности за 2022/2023/2024 год)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</si>
</sst>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"/>
    <numFmt numFmtId="165" formatCode="#,##0.000"/>
    <numFmt numFmtId="166" formatCode="_-* #,##0.00_р_._-;\-* #,##0.00_р_._-;_-* &quot;-&quot;??_р_._-;_-@_-"/>
  </numFmts>
  <fonts count="2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8"/>
      <name val="Calibri"/>
      <family val="2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rgb="FFFF0000"/>
      <name val="Times New Roman"/>
      <family val="1"/>
      <charset val="204"/>
    </font>
    <font>
      <b/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i/>
      <sz val="12"/>
      <name val="Arial"/>
      <family val="2"/>
      <charset val="204"/>
    </font>
    <font>
      <b/>
      <sz val="18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9DB"/>
        <bgColor rgb="FFEEE9DB"/>
      </patternFill>
    </fill>
    <fill>
      <patternFill patternType="solid">
        <fgColor theme="7" tint="0.59999389629810485"/>
        <bgColor rgb="FFEEE9DB"/>
      </patternFill>
    </fill>
    <fill>
      <patternFill patternType="solid">
        <fgColor theme="7" tint="0.59999389629810485"/>
        <bgColor rgb="FF95B3D7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E5D6"/>
        <bgColor rgb="FFEBF1DE"/>
      </patternFill>
    </fill>
    <fill>
      <patternFill patternType="solid">
        <fgColor theme="4" tint="0.39997558519241921"/>
        <bgColor rgb="FFEEE9DB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8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114">
    <xf numFmtId="0" fontId="0" fillId="0" borderId="0" xfId="0"/>
    <xf numFmtId="0" fontId="4" fillId="7" borderId="1" xfId="0" applyFont="1" applyFill="1" applyBorder="1" applyAlignment="1">
      <alignment vertical="center" wrapText="1"/>
    </xf>
    <xf numFmtId="0" fontId="4" fillId="10" borderId="1" xfId="4" applyFont="1" applyFill="1" applyBorder="1" applyAlignment="1" applyProtection="1">
      <alignment horizontal="center" vertical="center" wrapText="1"/>
      <protection locked="0"/>
    </xf>
    <xf numFmtId="0" fontId="4" fillId="2" borderId="1" xfId="4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/>
    </xf>
    <xf numFmtId="4" fontId="5" fillId="0" borderId="1" xfId="4" applyNumberFormat="1" applyFont="1" applyBorder="1" applyAlignment="1">
      <alignment horizontal="center" vertical="center" wrapText="1"/>
    </xf>
    <xf numFmtId="1" fontId="5" fillId="4" borderId="1" xfId="3" applyNumberFormat="1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left" vertical="center" wrapText="1"/>
    </xf>
    <xf numFmtId="0" fontId="4" fillId="4" borderId="1" xfId="3" applyFont="1" applyFill="1" applyBorder="1" applyAlignment="1">
      <alignment horizontal="right" vertical="center" wrapText="1"/>
    </xf>
    <xf numFmtId="0" fontId="5" fillId="4" borderId="1" xfId="3" applyFont="1" applyFill="1" applyBorder="1" applyAlignment="1">
      <alignment horizontal="center" vertical="center" wrapText="1"/>
    </xf>
    <xf numFmtId="4" fontId="4" fillId="4" borderId="1" xfId="3" applyNumberFormat="1" applyFont="1" applyFill="1" applyBorder="1" applyAlignment="1">
      <alignment horizontal="center" vertical="center"/>
    </xf>
    <xf numFmtId="0" fontId="6" fillId="0" borderId="1" xfId="4" applyFont="1" applyBorder="1" applyAlignment="1">
      <alignment horizontal="center" vertical="center" wrapText="1"/>
    </xf>
    <xf numFmtId="0" fontId="5" fillId="0" borderId="1" xfId="4" applyFont="1" applyBorder="1" applyAlignment="1">
      <alignment horizontal="left" vertical="center" wrapText="1"/>
    </xf>
    <xf numFmtId="0" fontId="10" fillId="0" borderId="0" xfId="0" applyFont="1"/>
    <xf numFmtId="49" fontId="2" fillId="0" borderId="0" xfId="3" applyNumberFormat="1" applyFont="1" applyAlignment="1">
      <alignment vertical="center" wrapText="1"/>
    </xf>
    <xf numFmtId="49" fontId="5" fillId="0" borderId="1" xfId="4" applyNumberFormat="1" applyFont="1" applyBorder="1" applyAlignment="1">
      <alignment horizontal="center" vertical="center"/>
    </xf>
    <xf numFmtId="49" fontId="5" fillId="0" borderId="1" xfId="4" quotePrefix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" fontId="10" fillId="11" borderId="1" xfId="0" applyNumberFormat="1" applyFont="1" applyFill="1" applyBorder="1" applyAlignment="1">
      <alignment horizontal="center" vertical="center" wrapText="1"/>
    </xf>
    <xf numFmtId="165" fontId="10" fillId="11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0" xfId="4" applyNumberFormat="1" applyFont="1" applyAlignment="1">
      <alignment vertical="center"/>
    </xf>
    <xf numFmtId="0" fontId="5" fillId="0" borderId="0" xfId="4" applyFont="1" applyAlignment="1">
      <alignment vertical="center"/>
    </xf>
    <xf numFmtId="0" fontId="8" fillId="0" borderId="0" xfId="3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4" applyFont="1" applyAlignment="1">
      <alignment vertical="center" wrapText="1"/>
    </xf>
    <xf numFmtId="0" fontId="5" fillId="0" borderId="1" xfId="4" applyFont="1" applyBorder="1" applyAlignment="1">
      <alignment vertical="center" wrapText="1"/>
    </xf>
    <xf numFmtId="49" fontId="5" fillId="4" borderId="1" xfId="3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43" fontId="15" fillId="0" borderId="0" xfId="6" applyFont="1" applyFill="1" applyAlignment="1">
      <alignment vertical="center" wrapText="1"/>
    </xf>
    <xf numFmtId="0" fontId="5" fillId="0" borderId="0" xfId="0" applyFont="1" applyAlignment="1">
      <alignment vertical="center"/>
    </xf>
    <xf numFmtId="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43" fontId="16" fillId="0" borderId="0" xfId="6" applyFont="1" applyFill="1" applyAlignment="1">
      <alignment vertical="center" wrapText="1"/>
    </xf>
    <xf numFmtId="166" fontId="5" fillId="0" borderId="0" xfId="7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49" fontId="18" fillId="12" borderId="1" xfId="0" applyNumberFormat="1" applyFont="1" applyFill="1" applyBorder="1" applyAlignment="1">
      <alignment vertical="center"/>
    </xf>
    <xf numFmtId="49" fontId="18" fillId="12" borderId="1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vertical="center"/>
    </xf>
    <xf numFmtId="2" fontId="18" fillId="12" borderId="1" xfId="0" applyNumberFormat="1" applyFont="1" applyFill="1" applyBorder="1" applyAlignment="1">
      <alignment vertical="center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49" fontId="20" fillId="0" borderId="1" xfId="0" applyNumberFormat="1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2" fontId="22" fillId="0" borderId="1" xfId="0" applyNumberFormat="1" applyFont="1" applyBorder="1" applyAlignment="1">
      <alignment vertical="center" wrapText="1"/>
    </xf>
    <xf numFmtId="2" fontId="20" fillId="0" borderId="1" xfId="0" applyNumberFormat="1" applyFont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4" fontId="5" fillId="9" borderId="1" xfId="4" applyNumberFormat="1" applyFont="1" applyFill="1" applyBorder="1" applyAlignment="1" applyProtection="1">
      <alignment horizontal="center" vertical="center" wrapText="1"/>
      <protection locked="0"/>
    </xf>
    <xf numFmtId="4" fontId="5" fillId="0" borderId="1" xfId="4" applyNumberFormat="1" applyFont="1" applyBorder="1" applyAlignment="1" applyProtection="1">
      <alignment horizontal="center" vertical="center" wrapText="1"/>
      <protection locked="0"/>
    </xf>
    <xf numFmtId="4" fontId="4" fillId="4" borderId="1" xfId="3" applyNumberFormat="1" applyFont="1" applyFill="1" applyBorder="1" applyAlignment="1" applyProtection="1">
      <alignment horizontal="center" vertical="center"/>
      <protection locked="0"/>
    </xf>
    <xf numFmtId="0" fontId="4" fillId="10" borderId="1" xfId="4" applyFont="1" applyFill="1" applyBorder="1" applyAlignment="1" applyProtection="1">
      <alignment horizontal="center" vertical="center" wrapText="1"/>
    </xf>
    <xf numFmtId="0" fontId="5" fillId="0" borderId="1" xfId="4" applyFont="1" applyBorder="1" applyAlignment="1" applyProtection="1">
      <alignment horizontal="center" vertical="center"/>
    </xf>
    <xf numFmtId="4" fontId="4" fillId="5" borderId="1" xfId="3" applyNumberFormat="1" applyFont="1" applyFill="1" applyBorder="1" applyAlignment="1" applyProtection="1">
      <alignment horizontal="center" vertical="center"/>
    </xf>
    <xf numFmtId="0" fontId="5" fillId="0" borderId="1" xfId="4" applyFont="1" applyBorder="1" applyAlignment="1" applyProtection="1">
      <alignment vertical="center"/>
      <protection locked="0"/>
    </xf>
    <xf numFmtId="0" fontId="5" fillId="0" borderId="1" xfId="4" applyFont="1" applyBorder="1" applyAlignment="1" applyProtection="1">
      <alignment horizontal="center" vertical="center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4" fillId="4" borderId="1" xfId="3" applyFont="1" applyFill="1" applyBorder="1" applyAlignment="1" applyProtection="1">
      <alignment horizontal="left" vertical="center" wrapText="1"/>
      <protection locked="0"/>
    </xf>
    <xf numFmtId="49" fontId="24" fillId="3" borderId="1" xfId="2" quotePrefix="1" applyNumberFormat="1" applyFill="1" applyBorder="1" applyAlignment="1">
      <alignment horizontal="center" vertical="center" wrapText="1"/>
    </xf>
    <xf numFmtId="0" fontId="24" fillId="3" borderId="1" xfId="2" applyFill="1" applyBorder="1" applyAlignment="1">
      <alignment vertical="center" wrapText="1"/>
    </xf>
    <xf numFmtId="0" fontId="24" fillId="3" borderId="1" xfId="2" applyFill="1" applyBorder="1" applyAlignment="1">
      <alignment horizontal="center" vertical="center" wrapText="1"/>
    </xf>
    <xf numFmtId="164" fontId="24" fillId="3" borderId="1" xfId="2" applyNumberFormat="1" applyFill="1" applyBorder="1" applyAlignment="1">
      <alignment vertical="center" wrapText="1"/>
    </xf>
    <xf numFmtId="4" fontId="24" fillId="3" borderId="1" xfId="2" applyNumberFormat="1" applyFill="1" applyBorder="1" applyAlignment="1" applyProtection="1">
      <alignment horizontal="center" vertical="center" wrapText="1"/>
    </xf>
    <xf numFmtId="4" fontId="24" fillId="8" borderId="1" xfId="2" applyNumberFormat="1" applyFill="1" applyBorder="1" applyAlignment="1" applyProtection="1">
      <alignment horizontal="center" vertical="center" wrapText="1"/>
      <protection locked="0"/>
    </xf>
    <xf numFmtId="4" fontId="24" fillId="3" borderId="1" xfId="2" applyNumberFormat="1" applyFill="1" applyBorder="1" applyAlignment="1">
      <alignment horizontal="center" vertical="center" wrapText="1"/>
    </xf>
    <xf numFmtId="0" fontId="24" fillId="3" borderId="1" xfId="2" applyFill="1" applyBorder="1" applyAlignment="1" applyProtection="1">
      <alignment horizontal="center" vertical="center" wrapText="1"/>
      <protection locked="0"/>
    </xf>
    <xf numFmtId="0" fontId="24" fillId="0" borderId="0" xfId="2" applyAlignment="1">
      <alignment vertical="center" wrapText="1"/>
    </xf>
    <xf numFmtId="0" fontId="5" fillId="0" borderId="1" xfId="4" applyFont="1" applyBorder="1" applyAlignment="1" applyProtection="1">
      <alignment vertical="center" wrapText="1"/>
      <protection locked="0"/>
    </xf>
    <xf numFmtId="49" fontId="23" fillId="14" borderId="1" xfId="1" applyNumberFormat="1" applyFill="1" applyBorder="1" applyAlignment="1">
      <alignment horizontal="center" vertical="center" wrapText="1"/>
    </xf>
    <xf numFmtId="0" fontId="23" fillId="14" borderId="1" xfId="1" applyFill="1" applyBorder="1" applyAlignment="1">
      <alignment vertical="center" wrapText="1"/>
    </xf>
    <xf numFmtId="0" fontId="23" fillId="14" borderId="1" xfId="1" applyFill="1" applyBorder="1" applyAlignment="1">
      <alignment horizontal="center" vertical="center" wrapText="1"/>
    </xf>
    <xf numFmtId="0" fontId="23" fillId="14" borderId="1" xfId="1" applyFill="1" applyBorder="1" applyAlignment="1">
      <alignment horizontal="left" vertical="center" wrapText="1"/>
    </xf>
    <xf numFmtId="4" fontId="23" fillId="14" borderId="1" xfId="1" applyNumberFormat="1" applyFill="1" applyBorder="1" applyAlignment="1">
      <alignment horizontal="center" vertical="center" wrapText="1"/>
    </xf>
    <xf numFmtId="4" fontId="23" fillId="14" borderId="1" xfId="1" applyNumberFormat="1" applyFill="1" applyBorder="1" applyAlignment="1" applyProtection="1">
      <alignment horizontal="center" vertical="center" wrapText="1"/>
    </xf>
    <xf numFmtId="0" fontId="23" fillId="14" borderId="1" xfId="1" applyFill="1" applyBorder="1" applyAlignment="1" applyProtection="1">
      <alignment horizontal="center" vertical="center" wrapText="1"/>
      <protection locked="0"/>
    </xf>
    <xf numFmtId="0" fontId="23" fillId="14" borderId="0" xfId="1" applyFill="1" applyAlignment="1">
      <alignment vertical="center" wrapText="1"/>
    </xf>
    <xf numFmtId="49" fontId="4" fillId="15" borderId="1" xfId="4" applyNumberFormat="1" applyFont="1" applyFill="1" applyBorder="1" applyAlignment="1">
      <alignment horizontal="center" vertical="center" wrapText="1"/>
    </xf>
    <xf numFmtId="0" fontId="4" fillId="15" borderId="1" xfId="4" applyFont="1" applyFill="1" applyBorder="1" applyAlignment="1">
      <alignment vertical="center" wrapText="1"/>
    </xf>
    <xf numFmtId="0" fontId="11" fillId="15" borderId="1" xfId="4" applyFont="1" applyFill="1" applyBorder="1" applyAlignment="1">
      <alignment horizontal="center" vertical="center" wrapText="1"/>
    </xf>
    <xf numFmtId="0" fontId="4" fillId="15" borderId="1" xfId="4" applyFont="1" applyFill="1" applyBorder="1" applyAlignment="1">
      <alignment horizontal="left" vertical="center" wrapText="1"/>
    </xf>
    <xf numFmtId="0" fontId="11" fillId="15" borderId="1" xfId="4" applyFont="1" applyFill="1" applyBorder="1" applyAlignment="1">
      <alignment vertical="center" wrapText="1"/>
    </xf>
    <xf numFmtId="4" fontId="4" fillId="15" borderId="1" xfId="4" applyNumberFormat="1" applyFont="1" applyFill="1" applyBorder="1" applyAlignment="1">
      <alignment horizontal="center" vertical="center" wrapText="1"/>
    </xf>
    <xf numFmtId="4" fontId="4" fillId="15" borderId="1" xfId="4" applyNumberFormat="1" applyFont="1" applyFill="1" applyBorder="1" applyAlignment="1" applyProtection="1">
      <alignment horizontal="center" vertical="center" wrapText="1"/>
    </xf>
    <xf numFmtId="0" fontId="4" fillId="15" borderId="1" xfId="4" applyFont="1" applyFill="1" applyBorder="1" applyAlignment="1" applyProtection="1">
      <alignment horizontal="center" vertical="center" wrapText="1"/>
      <protection locked="0"/>
    </xf>
    <xf numFmtId="0" fontId="4" fillId="15" borderId="0" xfId="4" applyFont="1" applyFill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4" fillId="10" borderId="1" xfId="4" applyFont="1" applyFill="1" applyBorder="1" applyAlignment="1" applyProtection="1">
      <alignment horizontal="center" vertical="center" wrapText="1"/>
    </xf>
    <xf numFmtId="0" fontId="4" fillId="2" borderId="1" xfId="4" applyFont="1" applyFill="1" applyBorder="1" applyAlignment="1">
      <alignment horizontal="center" vertical="center" wrapText="1"/>
    </xf>
    <xf numFmtId="0" fontId="4" fillId="2" borderId="2" xfId="4" applyFont="1" applyFill="1" applyBorder="1" applyAlignment="1">
      <alignment horizontal="center" vertical="center" wrapText="1"/>
    </xf>
    <xf numFmtId="0" fontId="4" fillId="2" borderId="3" xfId="4" applyFont="1" applyFill="1" applyBorder="1" applyAlignment="1">
      <alignment horizontal="center" vertical="center" wrapText="1"/>
    </xf>
    <xf numFmtId="0" fontId="4" fillId="6" borderId="1" xfId="4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17" fillId="0" borderId="0" xfId="0" applyFont="1" applyAlignment="1">
      <alignment horizontal="left" vertical="center" wrapText="1"/>
    </xf>
    <xf numFmtId="49" fontId="4" fillId="2" borderId="2" xfId="4" applyNumberFormat="1" applyFont="1" applyFill="1" applyBorder="1" applyAlignment="1">
      <alignment horizontal="center" vertical="center" wrapText="1"/>
    </xf>
    <xf numFmtId="49" fontId="4" fillId="2" borderId="3" xfId="4" applyNumberFormat="1" applyFont="1" applyFill="1" applyBorder="1" applyAlignment="1">
      <alignment horizontal="center" vertical="center" wrapText="1"/>
    </xf>
    <xf numFmtId="0" fontId="21" fillId="13" borderId="1" xfId="0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>
      <alignment horizontal="left" vertical="center" wrapText="1"/>
    </xf>
    <xf numFmtId="0" fontId="19" fillId="12" borderId="4" xfId="0" applyFont="1" applyFill="1" applyBorder="1" applyAlignment="1" applyProtection="1">
      <alignment horizontal="center" vertical="center"/>
      <protection locked="0"/>
    </xf>
    <xf numFmtId="0" fontId="19" fillId="12" borderId="5" xfId="0" applyFont="1" applyFill="1" applyBorder="1" applyAlignment="1" applyProtection="1">
      <alignment horizontal="center" vertical="center"/>
      <protection locked="0"/>
    </xf>
    <xf numFmtId="0" fontId="19" fillId="12" borderId="6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/>
  </cellXfs>
  <cellStyles count="8">
    <cellStyle name="Обычный" xfId="0" builtinId="0"/>
    <cellStyle name="Обычный 2" xfId="4" xr:uid="{73534793-A7C0-4EF9-B523-301BDE021F5A}"/>
    <cellStyle name="Обычный 2 2" xfId="5" xr:uid="{F61478FD-9932-4285-8A54-0D49386D43AB}"/>
    <cellStyle name="Обычный 3" xfId="3" xr:uid="{E342E428-CC5F-48C1-BAAF-D9A8F13D4515}"/>
    <cellStyle name="УровеньСтрок_1" xfId="1" builtinId="1" iLevel="0"/>
    <cellStyle name="УровеньСтрок_2" xfId="2" builtinId="1" iLevel="1"/>
    <cellStyle name="Финансовый" xfId="6" builtinId="3"/>
    <cellStyle name="Финансовый 2" xfId="7" xr:uid="{9907942A-A422-47C8-AB62-0A1934E0D6C8}"/>
  </cellStyles>
  <dxfs count="2">
    <dxf>
      <fill>
        <patternFill patternType="none">
          <bgColor rgb="FFFFFF00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applyStyles="1" summaryBelow="0" summaryRight="0"/>
  </sheetPr>
  <dimension ref="A1:O117"/>
  <sheetViews>
    <sheetView tabSelected="1" zoomScale="70" zoomScaleNormal="70" workbookViewId="0">
      <pane ySplit="15" topLeftCell="A55" activePane="bottomLeft" state="frozen"/>
      <selection pane="bottomLeft" activeCell="M64" sqref="M64"/>
    </sheetView>
  </sheetViews>
  <sheetFormatPr defaultColWidth="10.42578125" defaultRowHeight="15.75" outlineLevelRow="3" x14ac:dyDescent="0.25"/>
  <cols>
    <col min="1" max="1" width="12.42578125" style="27" bestFit="1" customWidth="1"/>
    <col min="2" max="2" width="18.85546875" style="28" customWidth="1"/>
    <col min="3" max="3" width="15.85546875" style="28" customWidth="1"/>
    <col min="4" max="4" width="92.7109375" style="28" customWidth="1"/>
    <col min="5" max="5" width="28.5703125" style="28" customWidth="1"/>
    <col min="6" max="6" width="16.85546875" style="28" customWidth="1"/>
    <col min="7" max="8" width="18.140625" style="28" customWidth="1"/>
    <col min="9" max="14" width="19.85546875" style="28" customWidth="1"/>
    <col min="15" max="15" width="33.85546875" style="28" customWidth="1"/>
    <col min="16" max="16384" width="10.42578125" style="28"/>
  </cols>
  <sheetData>
    <row r="1" spans="1:15" ht="15.75" customHeight="1" x14ac:dyDescent="0.25">
      <c r="B1" s="111" t="s">
        <v>93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</row>
    <row r="2" spans="1:15" ht="15.75" customHeight="1" x14ac:dyDescent="0.25"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</row>
    <row r="3" spans="1:15" ht="15.75" customHeight="1" x14ac:dyDescent="0.25">
      <c r="G3" s="57"/>
      <c r="H3" s="57"/>
    </row>
    <row r="4" spans="1:15" ht="15.75" customHeight="1" x14ac:dyDescent="0.25">
      <c r="B4" s="101" t="s">
        <v>14</v>
      </c>
      <c r="C4" s="101"/>
      <c r="D4" s="64" t="s">
        <v>133</v>
      </c>
      <c r="G4" s="57"/>
      <c r="H4" s="57"/>
    </row>
    <row r="5" spans="1:15" ht="31.5" x14ac:dyDescent="0.25">
      <c r="B5" s="101" t="s">
        <v>15</v>
      </c>
      <c r="C5" s="101"/>
      <c r="D5" s="77" t="s">
        <v>135</v>
      </c>
    </row>
    <row r="6" spans="1:15" ht="31.5" x14ac:dyDescent="0.25">
      <c r="B6" s="101" t="s">
        <v>16</v>
      </c>
      <c r="C6" s="101"/>
      <c r="D6" s="77" t="s">
        <v>134</v>
      </c>
    </row>
    <row r="9" spans="1:15" x14ac:dyDescent="0.25">
      <c r="B9" s="102" t="s">
        <v>17</v>
      </c>
      <c r="C9" s="102"/>
      <c r="D9" s="64"/>
    </row>
    <row r="10" spans="1:15" x14ac:dyDescent="0.25">
      <c r="B10" s="1" t="s">
        <v>18</v>
      </c>
      <c r="C10" s="1"/>
      <c r="D10" s="64"/>
    </row>
    <row r="11" spans="1:15" x14ac:dyDescent="0.25">
      <c r="B11" s="1" t="s">
        <v>19</v>
      </c>
      <c r="C11" s="1"/>
      <c r="D11" s="64"/>
    </row>
    <row r="13" spans="1:15" s="30" customFormat="1" ht="15" x14ac:dyDescent="0.25">
      <c r="A13" s="1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5" x14ac:dyDescent="0.25">
      <c r="A14" s="104" t="s">
        <v>0</v>
      </c>
      <c r="B14" s="99" t="s">
        <v>1</v>
      </c>
      <c r="C14" s="99" t="s">
        <v>13</v>
      </c>
      <c r="D14" s="99" t="s">
        <v>2</v>
      </c>
      <c r="E14" s="99" t="s">
        <v>24</v>
      </c>
      <c r="F14" s="99" t="s">
        <v>3</v>
      </c>
      <c r="G14" s="99" t="s">
        <v>4</v>
      </c>
      <c r="H14" s="99" t="s">
        <v>5</v>
      </c>
      <c r="I14" s="97" t="s">
        <v>21</v>
      </c>
      <c r="J14" s="97"/>
      <c r="K14" s="98" t="s">
        <v>23</v>
      </c>
      <c r="L14" s="98" t="s">
        <v>22</v>
      </c>
      <c r="M14" s="98"/>
      <c r="N14" s="98" t="s">
        <v>6</v>
      </c>
      <c r="O14" s="2" t="s">
        <v>25</v>
      </c>
    </row>
    <row r="15" spans="1:15" ht="31.5" x14ac:dyDescent="0.25">
      <c r="A15" s="105"/>
      <c r="B15" s="100"/>
      <c r="C15" s="100"/>
      <c r="D15" s="100"/>
      <c r="E15" s="100"/>
      <c r="F15" s="100"/>
      <c r="G15" s="100"/>
      <c r="H15" s="100"/>
      <c r="I15" s="61" t="s">
        <v>7</v>
      </c>
      <c r="J15" s="61" t="s">
        <v>8</v>
      </c>
      <c r="K15" s="98"/>
      <c r="L15" s="3" t="s">
        <v>7</v>
      </c>
      <c r="M15" s="3" t="s">
        <v>8</v>
      </c>
      <c r="N15" s="98"/>
      <c r="O15" s="2"/>
    </row>
    <row r="16" spans="1:15" ht="15" customHeight="1" x14ac:dyDescent="0.25">
      <c r="A16" s="15">
        <v>1</v>
      </c>
      <c r="B16" s="4">
        <v>2</v>
      </c>
      <c r="C16" s="4">
        <v>3</v>
      </c>
      <c r="D16" s="4">
        <v>4</v>
      </c>
      <c r="E16" s="4">
        <v>5</v>
      </c>
      <c r="F16" s="4">
        <v>6</v>
      </c>
      <c r="G16" s="4">
        <v>7</v>
      </c>
      <c r="H16" s="4">
        <v>8</v>
      </c>
      <c r="I16" s="62">
        <v>9</v>
      </c>
      <c r="J16" s="62">
        <v>10</v>
      </c>
      <c r="K16" s="4">
        <v>11</v>
      </c>
      <c r="L16" s="4">
        <v>12</v>
      </c>
      <c r="M16" s="4">
        <v>13</v>
      </c>
      <c r="N16" s="4">
        <v>14</v>
      </c>
      <c r="O16" s="65">
        <v>15</v>
      </c>
    </row>
    <row r="17" spans="1:15" s="94" customFormat="1" x14ac:dyDescent="0.25">
      <c r="A17" s="86"/>
      <c r="B17" s="87"/>
      <c r="C17" s="88"/>
      <c r="D17" s="89" t="s">
        <v>166</v>
      </c>
      <c r="E17" s="87"/>
      <c r="F17" s="90"/>
      <c r="G17" s="91"/>
      <c r="H17" s="91"/>
      <c r="I17" s="92"/>
      <c r="J17" s="92"/>
      <c r="K17" s="91"/>
      <c r="L17" s="91">
        <f>SUBTOTAL(9,L18:L79)</f>
        <v>0</v>
      </c>
      <c r="M17" s="91">
        <f>SUBTOTAL(9,M18:M79)</f>
        <v>0</v>
      </c>
      <c r="N17" s="91">
        <f>SUBTOTAL(9,N18:N74)</f>
        <v>0</v>
      </c>
      <c r="O17" s="93"/>
    </row>
    <row r="18" spans="1:15" s="85" customFormat="1" ht="15" x14ac:dyDescent="0.25">
      <c r="A18" s="78" t="s">
        <v>53</v>
      </c>
      <c r="B18" s="79"/>
      <c r="C18" s="80"/>
      <c r="D18" s="81" t="s">
        <v>150</v>
      </c>
      <c r="E18" s="79"/>
      <c r="F18" s="79"/>
      <c r="G18" s="82"/>
      <c r="H18" s="82"/>
      <c r="I18" s="83"/>
      <c r="J18" s="83"/>
      <c r="K18" s="82"/>
      <c r="L18" s="82">
        <f>SUBTOTAL(9,L19:L31)</f>
        <v>0</v>
      </c>
      <c r="M18" s="82">
        <f>SUBTOTAL(9,M19:M31)</f>
        <v>0</v>
      </c>
      <c r="N18" s="82">
        <f>SUBTOTAL(9,N19:N31)</f>
        <v>0</v>
      </c>
      <c r="O18" s="84"/>
    </row>
    <row r="19" spans="1:15" s="76" customFormat="1" ht="15" outlineLevel="1" x14ac:dyDescent="0.25">
      <c r="A19" s="68" t="s">
        <v>101</v>
      </c>
      <c r="B19" s="69"/>
      <c r="C19" s="70" t="s">
        <v>9</v>
      </c>
      <c r="D19" s="69" t="s">
        <v>94</v>
      </c>
      <c r="E19" s="69"/>
      <c r="F19" s="70" t="s">
        <v>20</v>
      </c>
      <c r="G19" s="70">
        <v>866.38</v>
      </c>
      <c r="H19" s="71"/>
      <c r="I19" s="72">
        <f>SUMPRODUCT(G20:G20,I20:I20)/G19</f>
        <v>0</v>
      </c>
      <c r="J19" s="73">
        <v>0</v>
      </c>
      <c r="K19" s="74">
        <f>SUM(I19:J19)</f>
        <v>0</v>
      </c>
      <c r="L19" s="74">
        <f>G19*I19</f>
        <v>0</v>
      </c>
      <c r="M19" s="74">
        <f>J19*G19</f>
        <v>0</v>
      </c>
      <c r="N19" s="74">
        <f>SUM(L19:M19)</f>
        <v>0</v>
      </c>
      <c r="O19" s="75"/>
    </row>
    <row r="20" spans="1:15" s="31" customFormat="1" outlineLevel="2" x14ac:dyDescent="0.25">
      <c r="A20" s="16" t="s">
        <v>102</v>
      </c>
      <c r="B20" s="32"/>
      <c r="C20" s="11" t="s">
        <v>10</v>
      </c>
      <c r="D20" s="18" t="s">
        <v>130</v>
      </c>
      <c r="E20" s="32"/>
      <c r="F20" s="19" t="s">
        <v>20</v>
      </c>
      <c r="G20" s="5">
        <f>G19*H20</f>
        <v>909.69900000000007</v>
      </c>
      <c r="H20" s="20">
        <v>1.05</v>
      </c>
      <c r="I20" s="58">
        <v>0</v>
      </c>
      <c r="J20" s="59"/>
      <c r="K20" s="5"/>
      <c r="L20" s="5"/>
      <c r="M20" s="5"/>
      <c r="N20" s="5"/>
      <c r="O20" s="66"/>
    </row>
    <row r="21" spans="1:15" s="76" customFormat="1" ht="15" outlineLevel="1" x14ac:dyDescent="0.25">
      <c r="A21" s="68" t="s">
        <v>105</v>
      </c>
      <c r="B21" s="69"/>
      <c r="C21" s="70" t="s">
        <v>9</v>
      </c>
      <c r="D21" s="69" t="s">
        <v>98</v>
      </c>
      <c r="E21" s="69"/>
      <c r="F21" s="70" t="s">
        <v>26</v>
      </c>
      <c r="G21" s="70">
        <v>5035.4399999999996</v>
      </c>
      <c r="H21" s="71"/>
      <c r="I21" s="72">
        <f>SUMPRODUCT(G22:G23,I22:I23)/G21</f>
        <v>0</v>
      </c>
      <c r="J21" s="73">
        <v>0</v>
      </c>
      <c r="K21" s="74">
        <f>SUM(I21:J21)</f>
        <v>0</v>
      </c>
      <c r="L21" s="74">
        <f>G21*I21</f>
        <v>0</v>
      </c>
      <c r="M21" s="74">
        <f>J21*G21</f>
        <v>0</v>
      </c>
      <c r="N21" s="74">
        <f>SUM(L21:M21)</f>
        <v>0</v>
      </c>
      <c r="O21" s="75"/>
    </row>
    <row r="22" spans="1:15" s="31" customFormat="1" outlineLevel="3" x14ac:dyDescent="0.25">
      <c r="A22" s="16" t="s">
        <v>107</v>
      </c>
      <c r="B22" s="32"/>
      <c r="C22" s="11" t="s">
        <v>10</v>
      </c>
      <c r="D22" s="17" t="s">
        <v>95</v>
      </c>
      <c r="E22" s="32"/>
      <c r="F22" s="19" t="s">
        <v>26</v>
      </c>
      <c r="G22" s="5">
        <f>G21*H22</f>
        <v>5538.9840000000004</v>
      </c>
      <c r="H22" s="20">
        <v>1.1000000000000001</v>
      </c>
      <c r="I22" s="58">
        <v>0</v>
      </c>
      <c r="J22" s="59"/>
      <c r="K22" s="5"/>
      <c r="L22" s="5"/>
      <c r="M22" s="5"/>
      <c r="N22" s="5"/>
      <c r="O22" s="66"/>
    </row>
    <row r="23" spans="1:15" s="31" customFormat="1" outlineLevel="2" x14ac:dyDescent="0.25">
      <c r="A23" s="16" t="s">
        <v>132</v>
      </c>
      <c r="B23" s="32"/>
      <c r="C23" s="11" t="s">
        <v>10</v>
      </c>
      <c r="D23" s="17" t="s">
        <v>96</v>
      </c>
      <c r="E23" s="32"/>
      <c r="F23" s="19" t="s">
        <v>20</v>
      </c>
      <c r="G23" s="5">
        <f>G21*H23*0.05</f>
        <v>264.36059999999998</v>
      </c>
      <c r="H23" s="20">
        <v>1.05</v>
      </c>
      <c r="I23" s="58">
        <v>0</v>
      </c>
      <c r="J23" s="59"/>
      <c r="K23" s="5"/>
      <c r="L23" s="5"/>
      <c r="M23" s="5"/>
      <c r="N23" s="5"/>
      <c r="O23" s="66"/>
    </row>
    <row r="24" spans="1:15" s="76" customFormat="1" ht="15" outlineLevel="1" x14ac:dyDescent="0.25">
      <c r="A24" s="68" t="s">
        <v>106</v>
      </c>
      <c r="B24" s="69"/>
      <c r="C24" s="70" t="s">
        <v>9</v>
      </c>
      <c r="D24" s="69" t="s">
        <v>127</v>
      </c>
      <c r="E24" s="69"/>
      <c r="F24" s="70" t="s">
        <v>26</v>
      </c>
      <c r="G24" s="70">
        <v>5035.4399999999996</v>
      </c>
      <c r="H24" s="71"/>
      <c r="I24" s="72">
        <f>SUMPRODUCT(G25:G25,I25:I25)/G24</f>
        <v>0</v>
      </c>
      <c r="J24" s="73">
        <v>0</v>
      </c>
      <c r="K24" s="74">
        <f>SUM(I24:J24)</f>
        <v>0</v>
      </c>
      <c r="L24" s="74">
        <f>G24*I24</f>
        <v>0</v>
      </c>
      <c r="M24" s="74">
        <f>J24*G24</f>
        <v>0</v>
      </c>
      <c r="N24" s="74">
        <f>SUM(L24:M24)</f>
        <v>0</v>
      </c>
      <c r="O24" s="75"/>
    </row>
    <row r="25" spans="1:15" s="31" customFormat="1" outlineLevel="2" x14ac:dyDescent="0.25">
      <c r="A25" s="16" t="s">
        <v>108</v>
      </c>
      <c r="B25" s="32"/>
      <c r="C25" s="11" t="s">
        <v>10</v>
      </c>
      <c r="D25" s="18" t="s">
        <v>131</v>
      </c>
      <c r="E25" s="32"/>
      <c r="F25" s="19" t="s">
        <v>26</v>
      </c>
      <c r="G25" s="5">
        <f>G24*H25</f>
        <v>5790.7559999999994</v>
      </c>
      <c r="H25" s="20">
        <v>1.1499999999999999</v>
      </c>
      <c r="I25" s="58">
        <v>0</v>
      </c>
      <c r="J25" s="59"/>
      <c r="K25" s="5"/>
      <c r="L25" s="5"/>
      <c r="M25" s="5"/>
      <c r="N25" s="5"/>
      <c r="O25" s="66"/>
    </row>
    <row r="26" spans="1:15" s="76" customFormat="1" ht="15" outlineLevel="1" x14ac:dyDescent="0.25">
      <c r="A26" s="68" t="s">
        <v>109</v>
      </c>
      <c r="B26" s="69"/>
      <c r="C26" s="70" t="s">
        <v>9</v>
      </c>
      <c r="D26" s="69" t="s">
        <v>99</v>
      </c>
      <c r="E26" s="69"/>
      <c r="F26" s="70" t="s">
        <v>26</v>
      </c>
      <c r="G26" s="70">
        <v>5035.4399999999996</v>
      </c>
      <c r="H26" s="71"/>
      <c r="I26" s="72">
        <f>SUMPRODUCT(G27:G27,I27:I27)/G26</f>
        <v>0</v>
      </c>
      <c r="J26" s="73">
        <v>0</v>
      </c>
      <c r="K26" s="74">
        <f>SUM(I26:J26)</f>
        <v>0</v>
      </c>
      <c r="L26" s="74">
        <f>G26*I26</f>
        <v>0</v>
      </c>
      <c r="M26" s="74">
        <f>J26*G26</f>
        <v>0</v>
      </c>
      <c r="N26" s="74">
        <f>SUM(L26:M26)</f>
        <v>0</v>
      </c>
      <c r="O26" s="75"/>
    </row>
    <row r="27" spans="1:15" s="31" customFormat="1" outlineLevel="2" x14ac:dyDescent="0.25">
      <c r="A27" s="16" t="s">
        <v>110</v>
      </c>
      <c r="B27" s="32"/>
      <c r="C27" s="11" t="s">
        <v>10</v>
      </c>
      <c r="D27" s="18" t="s">
        <v>167</v>
      </c>
      <c r="E27" s="32"/>
      <c r="F27" s="19" t="s">
        <v>26</v>
      </c>
      <c r="G27" s="5">
        <f>G26*H27*2</f>
        <v>11581.511999999999</v>
      </c>
      <c r="H27" s="20">
        <v>1.1499999999999999</v>
      </c>
      <c r="I27" s="58">
        <v>0</v>
      </c>
      <c r="J27" s="59"/>
      <c r="K27" s="5"/>
      <c r="L27" s="5"/>
      <c r="M27" s="5"/>
      <c r="N27" s="5"/>
      <c r="O27" s="66"/>
    </row>
    <row r="28" spans="1:15" s="76" customFormat="1" ht="15" outlineLevel="1" x14ac:dyDescent="0.25">
      <c r="A28" s="68" t="s">
        <v>112</v>
      </c>
      <c r="B28" s="69"/>
      <c r="C28" s="70" t="s">
        <v>9</v>
      </c>
      <c r="D28" s="69" t="s">
        <v>97</v>
      </c>
      <c r="E28" s="69"/>
      <c r="F28" s="70" t="s">
        <v>26</v>
      </c>
      <c r="G28" s="70">
        <v>5035.4399999999996</v>
      </c>
      <c r="H28" s="71"/>
      <c r="I28" s="72">
        <f>SUMPRODUCT(G29:G29,I29:I29)/G28</f>
        <v>0</v>
      </c>
      <c r="J28" s="73">
        <v>0</v>
      </c>
      <c r="K28" s="74">
        <f>SUM(I28:J28)</f>
        <v>0</v>
      </c>
      <c r="L28" s="74">
        <f>G28*I28</f>
        <v>0</v>
      </c>
      <c r="M28" s="74">
        <f>J28*G28</f>
        <v>0</v>
      </c>
      <c r="N28" s="74">
        <f>SUM(L28:M28)</f>
        <v>0</v>
      </c>
      <c r="O28" s="75"/>
    </row>
    <row r="29" spans="1:15" s="31" customFormat="1" outlineLevel="2" x14ac:dyDescent="0.25">
      <c r="A29" s="16" t="s">
        <v>111</v>
      </c>
      <c r="B29" s="32"/>
      <c r="C29" s="11" t="s">
        <v>10</v>
      </c>
      <c r="D29" s="18" t="s">
        <v>129</v>
      </c>
      <c r="E29" s="32"/>
      <c r="F29" s="19" t="s">
        <v>26</v>
      </c>
      <c r="G29" s="5">
        <f>G28*H29</f>
        <v>5186.5032000000001</v>
      </c>
      <c r="H29" s="20">
        <v>1.03</v>
      </c>
      <c r="I29" s="58">
        <v>0</v>
      </c>
      <c r="J29" s="59"/>
      <c r="K29" s="5"/>
      <c r="L29" s="5"/>
      <c r="M29" s="5"/>
      <c r="N29" s="5"/>
      <c r="O29" s="66"/>
    </row>
    <row r="30" spans="1:15" s="76" customFormat="1" ht="15" outlineLevel="1" x14ac:dyDescent="0.25">
      <c r="A30" s="68" t="s">
        <v>113</v>
      </c>
      <c r="B30" s="69"/>
      <c r="C30" s="70" t="s">
        <v>9</v>
      </c>
      <c r="D30" s="69" t="s">
        <v>100</v>
      </c>
      <c r="E30" s="69"/>
      <c r="F30" s="70" t="s">
        <v>26</v>
      </c>
      <c r="G30" s="70">
        <v>5035.4399999999996</v>
      </c>
      <c r="H30" s="71"/>
      <c r="I30" s="72">
        <f>SUMPRODUCT(G31:G31,I31:I31)/G30</f>
        <v>0</v>
      </c>
      <c r="J30" s="73">
        <v>0</v>
      </c>
      <c r="K30" s="74">
        <f>SUM(I30:J30)</f>
        <v>0</v>
      </c>
      <c r="L30" s="74">
        <f>G30*I30</f>
        <v>0</v>
      </c>
      <c r="M30" s="74">
        <f>J30*G30</f>
        <v>0</v>
      </c>
      <c r="N30" s="74">
        <f>SUM(L30:M30)</f>
        <v>0</v>
      </c>
      <c r="O30" s="75"/>
    </row>
    <row r="31" spans="1:15" s="31" customFormat="1" outlineLevel="2" x14ac:dyDescent="0.25">
      <c r="A31" s="16" t="s">
        <v>114</v>
      </c>
      <c r="B31" s="32"/>
      <c r="C31" s="11" t="s">
        <v>10</v>
      </c>
      <c r="D31" s="18" t="s">
        <v>128</v>
      </c>
      <c r="E31" s="32"/>
      <c r="F31" s="19" t="s">
        <v>26</v>
      </c>
      <c r="G31" s="5">
        <f>G30*H31</f>
        <v>5639.6927999999998</v>
      </c>
      <c r="H31" s="20">
        <v>1.1200000000000001</v>
      </c>
      <c r="I31" s="58">
        <v>0</v>
      </c>
      <c r="J31" s="59"/>
      <c r="K31" s="5"/>
      <c r="L31" s="5"/>
      <c r="M31" s="5"/>
      <c r="N31" s="5"/>
      <c r="O31" s="66"/>
    </row>
    <row r="32" spans="1:15" s="85" customFormat="1" ht="15" x14ac:dyDescent="0.25">
      <c r="A32" s="78" t="s">
        <v>56</v>
      </c>
      <c r="B32" s="79"/>
      <c r="C32" s="80"/>
      <c r="D32" s="81" t="s">
        <v>151</v>
      </c>
      <c r="E32" s="79"/>
      <c r="F32" s="79"/>
      <c r="G32" s="82"/>
      <c r="H32" s="82"/>
      <c r="I32" s="83"/>
      <c r="J32" s="83"/>
      <c r="K32" s="82"/>
      <c r="L32" s="82">
        <f>SUBTOTAL(9,L33:L47)</f>
        <v>0</v>
      </c>
      <c r="M32" s="82">
        <f>SUBTOTAL(9,M33:M47)</f>
        <v>0</v>
      </c>
      <c r="N32" s="82">
        <f>SUBTOTAL(9,N33:N47)</f>
        <v>0</v>
      </c>
      <c r="O32" s="84"/>
    </row>
    <row r="33" spans="1:15" s="76" customFormat="1" ht="15" outlineLevel="1" x14ac:dyDescent="0.25">
      <c r="A33" s="68" t="s">
        <v>103</v>
      </c>
      <c r="B33" s="69"/>
      <c r="C33" s="70" t="s">
        <v>9</v>
      </c>
      <c r="D33" s="69" t="s">
        <v>94</v>
      </c>
      <c r="E33" s="69"/>
      <c r="F33" s="70" t="s">
        <v>20</v>
      </c>
      <c r="G33" s="70">
        <v>122.74</v>
      </c>
      <c r="H33" s="71"/>
      <c r="I33" s="72">
        <f>SUMPRODUCT(G34:G34,I34:I34)/G33</f>
        <v>0</v>
      </c>
      <c r="J33" s="73">
        <v>0</v>
      </c>
      <c r="K33" s="74">
        <f>SUM(I33:J33)</f>
        <v>0</v>
      </c>
      <c r="L33" s="74">
        <f>G33*I33</f>
        <v>0</v>
      </c>
      <c r="M33" s="74">
        <f>J33*G33</f>
        <v>0</v>
      </c>
      <c r="N33" s="74">
        <f>SUM(L33:M33)</f>
        <v>0</v>
      </c>
      <c r="O33" s="75"/>
    </row>
    <row r="34" spans="1:15" s="31" customFormat="1" outlineLevel="2" x14ac:dyDescent="0.25">
      <c r="A34" s="16" t="s">
        <v>104</v>
      </c>
      <c r="B34" s="32"/>
      <c r="C34" s="11" t="s">
        <v>10</v>
      </c>
      <c r="D34" s="18" t="s">
        <v>130</v>
      </c>
      <c r="E34" s="32"/>
      <c r="F34" s="19" t="s">
        <v>20</v>
      </c>
      <c r="G34" s="5">
        <f>G33*H34</f>
        <v>128.87700000000001</v>
      </c>
      <c r="H34" s="20">
        <v>1.05</v>
      </c>
      <c r="I34" s="58">
        <v>0</v>
      </c>
      <c r="J34" s="59"/>
      <c r="K34" s="5"/>
      <c r="L34" s="5"/>
      <c r="M34" s="5"/>
      <c r="N34" s="5"/>
      <c r="O34" s="66"/>
    </row>
    <row r="35" spans="1:15" s="76" customFormat="1" ht="15" outlineLevel="1" x14ac:dyDescent="0.25">
      <c r="A35" s="68" t="s">
        <v>115</v>
      </c>
      <c r="B35" s="69"/>
      <c r="C35" s="70" t="s">
        <v>9</v>
      </c>
      <c r="D35" s="69" t="s">
        <v>98</v>
      </c>
      <c r="E35" s="69"/>
      <c r="F35" s="70" t="s">
        <v>26</v>
      </c>
      <c r="G35" s="70">
        <v>697.31</v>
      </c>
      <c r="H35" s="71"/>
      <c r="I35" s="72">
        <f>SUMPRODUCT(G36:G37,I36:I37)/G35</f>
        <v>0</v>
      </c>
      <c r="J35" s="73">
        <v>0</v>
      </c>
      <c r="K35" s="74">
        <f>SUM(I35:J35)</f>
        <v>0</v>
      </c>
      <c r="L35" s="74">
        <f>G35*I35</f>
        <v>0</v>
      </c>
      <c r="M35" s="74">
        <f>J35*G35</f>
        <v>0</v>
      </c>
      <c r="N35" s="74">
        <f>SUM(L35:M35)</f>
        <v>0</v>
      </c>
      <c r="O35" s="75"/>
    </row>
    <row r="36" spans="1:15" s="31" customFormat="1" outlineLevel="3" x14ac:dyDescent="0.25">
      <c r="A36" s="16" t="s">
        <v>116</v>
      </c>
      <c r="B36" s="32"/>
      <c r="C36" s="11" t="s">
        <v>10</v>
      </c>
      <c r="D36" s="17" t="s">
        <v>95</v>
      </c>
      <c r="E36" s="32"/>
      <c r="F36" s="19" t="s">
        <v>26</v>
      </c>
      <c r="G36" s="5">
        <f>G35*H36</f>
        <v>767.04100000000005</v>
      </c>
      <c r="H36" s="20">
        <v>1.1000000000000001</v>
      </c>
      <c r="I36" s="58">
        <v>0</v>
      </c>
      <c r="J36" s="59"/>
      <c r="K36" s="5"/>
      <c r="L36" s="5"/>
      <c r="M36" s="5"/>
      <c r="N36" s="5"/>
      <c r="O36" s="66"/>
    </row>
    <row r="37" spans="1:15" s="31" customFormat="1" outlineLevel="2" x14ac:dyDescent="0.25">
      <c r="A37" s="16" t="s">
        <v>136</v>
      </c>
      <c r="B37" s="32"/>
      <c r="C37" s="11" t="s">
        <v>10</v>
      </c>
      <c r="D37" s="17" t="s">
        <v>96</v>
      </c>
      <c r="E37" s="32"/>
      <c r="F37" s="19" t="s">
        <v>20</v>
      </c>
      <c r="G37" s="5">
        <f>G35*H37*0.05</f>
        <v>36.608775000000001</v>
      </c>
      <c r="H37" s="20">
        <v>1.05</v>
      </c>
      <c r="I37" s="58">
        <v>0</v>
      </c>
      <c r="J37" s="59"/>
      <c r="K37" s="5"/>
      <c r="L37" s="5"/>
      <c r="M37" s="5"/>
      <c r="N37" s="5"/>
      <c r="O37" s="66"/>
    </row>
    <row r="38" spans="1:15" s="76" customFormat="1" ht="15" outlineLevel="1" x14ac:dyDescent="0.25">
      <c r="A38" s="68" t="s">
        <v>117</v>
      </c>
      <c r="B38" s="69"/>
      <c r="C38" s="70" t="s">
        <v>9</v>
      </c>
      <c r="D38" s="69" t="s">
        <v>137</v>
      </c>
      <c r="E38" s="69"/>
      <c r="F38" s="70" t="s">
        <v>26</v>
      </c>
      <c r="G38" s="70">
        <v>697.31</v>
      </c>
      <c r="H38" s="71"/>
      <c r="I38" s="72">
        <f>SUMPRODUCT(G39:G39,I39:I39)/G38</f>
        <v>0</v>
      </c>
      <c r="J38" s="73">
        <v>0</v>
      </c>
      <c r="K38" s="74">
        <f>SUM(I38:J38)</f>
        <v>0</v>
      </c>
      <c r="L38" s="74">
        <f>G38*I38</f>
        <v>0</v>
      </c>
      <c r="M38" s="74">
        <f>J38*G38</f>
        <v>0</v>
      </c>
      <c r="N38" s="74">
        <f>SUM(L38:M38)</f>
        <v>0</v>
      </c>
      <c r="O38" s="75"/>
    </row>
    <row r="39" spans="1:15" s="31" customFormat="1" outlineLevel="2" x14ac:dyDescent="0.25">
      <c r="A39" s="16" t="s">
        <v>118</v>
      </c>
      <c r="B39" s="32"/>
      <c r="C39" s="11" t="s">
        <v>10</v>
      </c>
      <c r="D39" s="18" t="s">
        <v>138</v>
      </c>
      <c r="E39" s="32"/>
      <c r="F39" s="19" t="s">
        <v>26</v>
      </c>
      <c r="G39" s="5">
        <f>G38*H39</f>
        <v>801.90649999999982</v>
      </c>
      <c r="H39" s="20">
        <v>1.1499999999999999</v>
      </c>
      <c r="I39" s="58">
        <v>0</v>
      </c>
      <c r="J39" s="59"/>
      <c r="K39" s="5"/>
      <c r="L39" s="5"/>
      <c r="M39" s="5"/>
      <c r="N39" s="5"/>
      <c r="O39" s="66"/>
    </row>
    <row r="40" spans="1:15" s="76" customFormat="1" ht="15" outlineLevel="1" x14ac:dyDescent="0.25">
      <c r="A40" s="68" t="s">
        <v>119</v>
      </c>
      <c r="B40" s="69"/>
      <c r="C40" s="70" t="s">
        <v>9</v>
      </c>
      <c r="D40" s="69" t="s">
        <v>139</v>
      </c>
      <c r="E40" s="69"/>
      <c r="F40" s="70" t="s">
        <v>26</v>
      </c>
      <c r="G40" s="70">
        <v>697.31</v>
      </c>
      <c r="H40" s="71"/>
      <c r="I40" s="72">
        <f>SUMPRODUCT(G41:G41,I41:I41)/G40</f>
        <v>0</v>
      </c>
      <c r="J40" s="73">
        <v>0</v>
      </c>
      <c r="K40" s="74">
        <f>SUM(I40:J40)</f>
        <v>0</v>
      </c>
      <c r="L40" s="74">
        <f>G40*I40</f>
        <v>0</v>
      </c>
      <c r="M40" s="74">
        <f>J40*G40</f>
        <v>0</v>
      </c>
      <c r="N40" s="74">
        <f>SUM(L40:M40)</f>
        <v>0</v>
      </c>
      <c r="O40" s="75"/>
    </row>
    <row r="41" spans="1:15" s="31" customFormat="1" outlineLevel="2" x14ac:dyDescent="0.25">
      <c r="A41" s="16" t="s">
        <v>120</v>
      </c>
      <c r="B41" s="32"/>
      <c r="C41" s="11" t="s">
        <v>10</v>
      </c>
      <c r="D41" s="18" t="s">
        <v>140</v>
      </c>
      <c r="E41" s="32"/>
      <c r="F41" s="19" t="s">
        <v>26</v>
      </c>
      <c r="G41" s="5">
        <f>G40*H41</f>
        <v>801.90649999999982</v>
      </c>
      <c r="H41" s="20">
        <v>1.1499999999999999</v>
      </c>
      <c r="I41" s="58">
        <v>0</v>
      </c>
      <c r="J41" s="59"/>
      <c r="K41" s="5"/>
      <c r="L41" s="5"/>
      <c r="M41" s="5"/>
      <c r="N41" s="5"/>
      <c r="O41" s="66"/>
    </row>
    <row r="42" spans="1:15" s="76" customFormat="1" ht="15" outlineLevel="1" x14ac:dyDescent="0.25">
      <c r="A42" s="68" t="s">
        <v>121</v>
      </c>
      <c r="B42" s="69"/>
      <c r="C42" s="70" t="s">
        <v>9</v>
      </c>
      <c r="D42" s="69" t="s">
        <v>137</v>
      </c>
      <c r="E42" s="69"/>
      <c r="F42" s="70" t="s">
        <v>26</v>
      </c>
      <c r="G42" s="70">
        <v>697.31</v>
      </c>
      <c r="H42" s="71"/>
      <c r="I42" s="72">
        <f>SUMPRODUCT(G43:G43,I43:I43)/G42</f>
        <v>0</v>
      </c>
      <c r="J42" s="73">
        <v>0</v>
      </c>
      <c r="K42" s="74">
        <f>SUM(I42:J42)</f>
        <v>0</v>
      </c>
      <c r="L42" s="74">
        <f>G42*I42</f>
        <v>0</v>
      </c>
      <c r="M42" s="74">
        <f>J42*G42</f>
        <v>0</v>
      </c>
      <c r="N42" s="74">
        <f>SUM(L42:M42)</f>
        <v>0</v>
      </c>
      <c r="O42" s="75"/>
    </row>
    <row r="43" spans="1:15" s="31" customFormat="1" outlineLevel="2" x14ac:dyDescent="0.25">
      <c r="A43" s="16" t="s">
        <v>122</v>
      </c>
      <c r="B43" s="32"/>
      <c r="C43" s="11" t="s">
        <v>10</v>
      </c>
      <c r="D43" s="18" t="s">
        <v>138</v>
      </c>
      <c r="E43" s="32"/>
      <c r="F43" s="19" t="s">
        <v>26</v>
      </c>
      <c r="G43" s="5">
        <f>G42*H43</f>
        <v>801.90649999999982</v>
      </c>
      <c r="H43" s="20">
        <v>1.1499999999999999</v>
      </c>
      <c r="I43" s="58">
        <v>0</v>
      </c>
      <c r="J43" s="59"/>
      <c r="K43" s="5"/>
      <c r="L43" s="5"/>
      <c r="M43" s="5"/>
      <c r="N43" s="5"/>
      <c r="O43" s="66"/>
    </row>
    <row r="44" spans="1:15" s="76" customFormat="1" ht="15" outlineLevel="1" x14ac:dyDescent="0.25">
      <c r="A44" s="68" t="s">
        <v>123</v>
      </c>
      <c r="B44" s="69"/>
      <c r="C44" s="70" t="s">
        <v>9</v>
      </c>
      <c r="D44" s="69" t="s">
        <v>97</v>
      </c>
      <c r="E44" s="69"/>
      <c r="F44" s="70" t="s">
        <v>26</v>
      </c>
      <c r="G44" s="70">
        <v>697.31</v>
      </c>
      <c r="H44" s="71"/>
      <c r="I44" s="72">
        <f>SUMPRODUCT(G45:G45,I45:I45)/G44</f>
        <v>0</v>
      </c>
      <c r="J44" s="73">
        <v>0</v>
      </c>
      <c r="K44" s="74">
        <f>SUM(I44:J44)</f>
        <v>0</v>
      </c>
      <c r="L44" s="74">
        <f>G44*I44</f>
        <v>0</v>
      </c>
      <c r="M44" s="74">
        <f>J44*G44</f>
        <v>0</v>
      </c>
      <c r="N44" s="74">
        <f>SUM(L44:M44)</f>
        <v>0</v>
      </c>
      <c r="O44" s="75"/>
    </row>
    <row r="45" spans="1:15" s="31" customFormat="1" outlineLevel="2" x14ac:dyDescent="0.25">
      <c r="A45" s="16" t="s">
        <v>124</v>
      </c>
      <c r="B45" s="32"/>
      <c r="C45" s="11" t="s">
        <v>10</v>
      </c>
      <c r="D45" s="18" t="s">
        <v>129</v>
      </c>
      <c r="E45" s="32"/>
      <c r="F45" s="19" t="s">
        <v>26</v>
      </c>
      <c r="G45" s="5">
        <f>G44*H45</f>
        <v>718.22929999999997</v>
      </c>
      <c r="H45" s="20">
        <v>1.03</v>
      </c>
      <c r="I45" s="58">
        <v>0</v>
      </c>
      <c r="J45" s="59"/>
      <c r="K45" s="5"/>
      <c r="L45" s="5"/>
      <c r="M45" s="5"/>
      <c r="N45" s="5"/>
      <c r="O45" s="66"/>
    </row>
    <row r="46" spans="1:15" s="76" customFormat="1" ht="15" outlineLevel="1" x14ac:dyDescent="0.25">
      <c r="A46" s="68" t="s">
        <v>125</v>
      </c>
      <c r="B46" s="69"/>
      <c r="C46" s="70" t="s">
        <v>9</v>
      </c>
      <c r="D46" s="69" t="s">
        <v>100</v>
      </c>
      <c r="E46" s="69"/>
      <c r="F46" s="70" t="s">
        <v>26</v>
      </c>
      <c r="G46" s="70">
        <v>697.31</v>
      </c>
      <c r="H46" s="71"/>
      <c r="I46" s="72">
        <f>SUMPRODUCT(G47:G47,I47:I47)/G46</f>
        <v>0</v>
      </c>
      <c r="J46" s="73">
        <v>0</v>
      </c>
      <c r="K46" s="74">
        <f>SUM(I46:J46)</f>
        <v>0</v>
      </c>
      <c r="L46" s="74">
        <f>G46*I46</f>
        <v>0</v>
      </c>
      <c r="M46" s="74">
        <f>J46*G46</f>
        <v>0</v>
      </c>
      <c r="N46" s="74">
        <f>SUM(L46:M46)</f>
        <v>0</v>
      </c>
      <c r="O46" s="75"/>
    </row>
    <row r="47" spans="1:15" s="31" customFormat="1" outlineLevel="2" x14ac:dyDescent="0.25">
      <c r="A47" s="16" t="s">
        <v>126</v>
      </c>
      <c r="B47" s="32"/>
      <c r="C47" s="11" t="s">
        <v>10</v>
      </c>
      <c r="D47" s="18" t="s">
        <v>128</v>
      </c>
      <c r="E47" s="32"/>
      <c r="F47" s="19" t="s">
        <v>26</v>
      </c>
      <c r="G47" s="5">
        <f>G46*H47</f>
        <v>780.98720000000003</v>
      </c>
      <c r="H47" s="20">
        <v>1.1200000000000001</v>
      </c>
      <c r="I47" s="58">
        <v>0</v>
      </c>
      <c r="J47" s="59"/>
      <c r="K47" s="5"/>
      <c r="L47" s="5"/>
      <c r="M47" s="5"/>
      <c r="N47" s="5"/>
      <c r="O47" s="66"/>
    </row>
    <row r="48" spans="1:15" s="85" customFormat="1" ht="15" x14ac:dyDescent="0.25">
      <c r="A48" s="78" t="s">
        <v>60</v>
      </c>
      <c r="B48" s="79"/>
      <c r="C48" s="80"/>
      <c r="D48" s="81" t="s">
        <v>152</v>
      </c>
      <c r="E48" s="79"/>
      <c r="F48" s="79"/>
      <c r="G48" s="82"/>
      <c r="H48" s="82"/>
      <c r="I48" s="83"/>
      <c r="J48" s="83"/>
      <c r="K48" s="82"/>
      <c r="L48" s="82">
        <f>SUBTOTAL(9,L49:L63)</f>
        <v>0</v>
      </c>
      <c r="M48" s="82">
        <f>SUBTOTAL(9,M49:M63)</f>
        <v>0</v>
      </c>
      <c r="N48" s="82">
        <f>SUBTOTAL(9,N49:N63)</f>
        <v>0</v>
      </c>
      <c r="O48" s="84"/>
    </row>
    <row r="49" spans="1:15" s="76" customFormat="1" ht="15" outlineLevel="1" x14ac:dyDescent="0.25">
      <c r="A49" s="68" t="s">
        <v>27</v>
      </c>
      <c r="B49" s="69"/>
      <c r="C49" s="70" t="s">
        <v>9</v>
      </c>
      <c r="D49" s="69" t="s">
        <v>141</v>
      </c>
      <c r="E49" s="69"/>
      <c r="F49" s="70" t="s">
        <v>20</v>
      </c>
      <c r="G49" s="70">
        <v>5.26</v>
      </c>
      <c r="H49" s="71"/>
      <c r="I49" s="72">
        <f>SUMPRODUCT(G50:G50,I50:I50)/G49</f>
        <v>0</v>
      </c>
      <c r="J49" s="73">
        <v>0</v>
      </c>
      <c r="K49" s="74">
        <f>SUM(I49:J49)</f>
        <v>0</v>
      </c>
      <c r="L49" s="74">
        <f>G49*I49</f>
        <v>0</v>
      </c>
      <c r="M49" s="74">
        <f>J49*G49</f>
        <v>0</v>
      </c>
      <c r="N49" s="74">
        <f>SUM(L49:M49)</f>
        <v>0</v>
      </c>
      <c r="O49" s="75"/>
    </row>
    <row r="50" spans="1:15" s="31" customFormat="1" outlineLevel="2" x14ac:dyDescent="0.25">
      <c r="A50" s="16" t="s">
        <v>29</v>
      </c>
      <c r="B50" s="32"/>
      <c r="C50" s="11" t="s">
        <v>10</v>
      </c>
      <c r="D50" s="18" t="s">
        <v>142</v>
      </c>
      <c r="E50" s="32"/>
      <c r="F50" s="19" t="s">
        <v>20</v>
      </c>
      <c r="G50" s="5">
        <f>G49*H50</f>
        <v>5.5229999999999997</v>
      </c>
      <c r="H50" s="20">
        <v>1.05</v>
      </c>
      <c r="I50" s="58">
        <v>0</v>
      </c>
      <c r="J50" s="59"/>
      <c r="K50" s="5"/>
      <c r="L50" s="5"/>
      <c r="M50" s="5"/>
      <c r="N50" s="5"/>
      <c r="O50" s="66"/>
    </row>
    <row r="51" spans="1:15" s="76" customFormat="1" ht="15" outlineLevel="1" x14ac:dyDescent="0.25">
      <c r="A51" s="68" t="s">
        <v>33</v>
      </c>
      <c r="B51" s="69"/>
      <c r="C51" s="70" t="s">
        <v>9</v>
      </c>
      <c r="D51" s="69" t="s">
        <v>98</v>
      </c>
      <c r="E51" s="69"/>
      <c r="F51" s="70" t="s">
        <v>26</v>
      </c>
      <c r="G51" s="70">
        <v>97.44</v>
      </c>
      <c r="H51" s="71"/>
      <c r="I51" s="72">
        <f>SUMPRODUCT(G52:G53,I52:I53)/G51</f>
        <v>0</v>
      </c>
      <c r="J51" s="73">
        <v>0</v>
      </c>
      <c r="K51" s="74">
        <f>SUM(I51:J51)</f>
        <v>0</v>
      </c>
      <c r="L51" s="74">
        <f>G51*I51</f>
        <v>0</v>
      </c>
      <c r="M51" s="74">
        <f>J51*G51</f>
        <v>0</v>
      </c>
      <c r="N51" s="74">
        <f>SUM(L51:M51)</f>
        <v>0</v>
      </c>
      <c r="O51" s="75"/>
    </row>
    <row r="52" spans="1:15" s="31" customFormat="1" outlineLevel="3" x14ac:dyDescent="0.25">
      <c r="A52" s="16" t="s">
        <v>35</v>
      </c>
      <c r="B52" s="32"/>
      <c r="C52" s="11" t="s">
        <v>10</v>
      </c>
      <c r="D52" s="17" t="s">
        <v>95</v>
      </c>
      <c r="E52" s="32"/>
      <c r="F52" s="19" t="s">
        <v>26</v>
      </c>
      <c r="G52" s="5">
        <f>G51*H52</f>
        <v>107.18400000000001</v>
      </c>
      <c r="H52" s="20">
        <v>1.1000000000000001</v>
      </c>
      <c r="I52" s="58">
        <v>0</v>
      </c>
      <c r="J52" s="59"/>
      <c r="K52" s="5"/>
      <c r="L52" s="5"/>
      <c r="M52" s="5"/>
      <c r="N52" s="5"/>
      <c r="O52" s="66"/>
    </row>
    <row r="53" spans="1:15" s="31" customFormat="1" outlineLevel="2" x14ac:dyDescent="0.25">
      <c r="A53" s="16" t="s">
        <v>149</v>
      </c>
      <c r="B53" s="32"/>
      <c r="C53" s="11" t="s">
        <v>10</v>
      </c>
      <c r="D53" s="17" t="s">
        <v>96</v>
      </c>
      <c r="E53" s="32"/>
      <c r="F53" s="19" t="s">
        <v>20</v>
      </c>
      <c r="G53" s="5">
        <f>G51*H53*0.05</f>
        <v>5.1156000000000006</v>
      </c>
      <c r="H53" s="20">
        <v>1.05</v>
      </c>
      <c r="I53" s="58">
        <v>0</v>
      </c>
      <c r="J53" s="59"/>
      <c r="K53" s="5"/>
      <c r="L53" s="5"/>
      <c r="M53" s="5"/>
      <c r="N53" s="5"/>
      <c r="O53" s="66"/>
    </row>
    <row r="54" spans="1:15" s="76" customFormat="1" ht="15" outlineLevel="1" x14ac:dyDescent="0.25">
      <c r="A54" s="68" t="s">
        <v>28</v>
      </c>
      <c r="B54" s="69"/>
      <c r="C54" s="70" t="s">
        <v>9</v>
      </c>
      <c r="D54" s="69" t="s">
        <v>137</v>
      </c>
      <c r="E54" s="69"/>
      <c r="F54" s="70" t="s">
        <v>26</v>
      </c>
      <c r="G54" s="70">
        <v>97.44</v>
      </c>
      <c r="H54" s="71"/>
      <c r="I54" s="72">
        <f>SUMPRODUCT(G55:G55,I55:I55)/G54</f>
        <v>0</v>
      </c>
      <c r="J54" s="73">
        <v>0</v>
      </c>
      <c r="K54" s="74">
        <f>SUM(I54:J54)</f>
        <v>0</v>
      </c>
      <c r="L54" s="74">
        <f>G54*I54</f>
        <v>0</v>
      </c>
      <c r="M54" s="74">
        <f>J54*G54</f>
        <v>0</v>
      </c>
      <c r="N54" s="74">
        <f>SUM(L54:M54)</f>
        <v>0</v>
      </c>
      <c r="O54" s="75"/>
    </row>
    <row r="55" spans="1:15" s="31" customFormat="1" outlineLevel="2" x14ac:dyDescent="0.25">
      <c r="A55" s="16" t="s">
        <v>36</v>
      </c>
      <c r="B55" s="32"/>
      <c r="C55" s="11" t="s">
        <v>10</v>
      </c>
      <c r="D55" s="18" t="s">
        <v>138</v>
      </c>
      <c r="E55" s="32"/>
      <c r="F55" s="19" t="s">
        <v>26</v>
      </c>
      <c r="G55" s="5">
        <f>G54*H55</f>
        <v>112.05599999999998</v>
      </c>
      <c r="H55" s="20">
        <v>1.1499999999999999</v>
      </c>
      <c r="I55" s="58">
        <v>0</v>
      </c>
      <c r="J55" s="59"/>
      <c r="K55" s="5"/>
      <c r="L55" s="5"/>
      <c r="M55" s="5"/>
      <c r="N55" s="5"/>
      <c r="O55" s="66"/>
    </row>
    <row r="56" spans="1:15" s="76" customFormat="1" ht="15" outlineLevel="1" x14ac:dyDescent="0.25">
      <c r="A56" s="68" t="s">
        <v>34</v>
      </c>
      <c r="B56" s="69"/>
      <c r="C56" s="70" t="s">
        <v>9</v>
      </c>
      <c r="D56" s="69" t="s">
        <v>139</v>
      </c>
      <c r="E56" s="69"/>
      <c r="F56" s="70" t="s">
        <v>26</v>
      </c>
      <c r="G56" s="70">
        <v>97.44</v>
      </c>
      <c r="H56" s="71"/>
      <c r="I56" s="72">
        <f>SUMPRODUCT(G57:G57,I57:I57)/G56</f>
        <v>0</v>
      </c>
      <c r="J56" s="73">
        <v>0</v>
      </c>
      <c r="K56" s="74">
        <f>SUM(I56:J56)</f>
        <v>0</v>
      </c>
      <c r="L56" s="74">
        <f>G56*I56</f>
        <v>0</v>
      </c>
      <c r="M56" s="74">
        <f>J56*G56</f>
        <v>0</v>
      </c>
      <c r="N56" s="74">
        <f>SUM(L56:M56)</f>
        <v>0</v>
      </c>
      <c r="O56" s="75"/>
    </row>
    <row r="57" spans="1:15" s="31" customFormat="1" outlineLevel="2" x14ac:dyDescent="0.25">
      <c r="A57" s="16" t="s">
        <v>37</v>
      </c>
      <c r="B57" s="32"/>
      <c r="C57" s="11" t="s">
        <v>10</v>
      </c>
      <c r="D57" s="18" t="s">
        <v>140</v>
      </c>
      <c r="E57" s="32"/>
      <c r="F57" s="19" t="s">
        <v>26</v>
      </c>
      <c r="G57" s="5">
        <f>G56*H57</f>
        <v>112.05599999999998</v>
      </c>
      <c r="H57" s="20">
        <v>1.1499999999999999</v>
      </c>
      <c r="I57" s="58">
        <v>0</v>
      </c>
      <c r="J57" s="59"/>
      <c r="K57" s="5"/>
      <c r="L57" s="5"/>
      <c r="M57" s="5"/>
      <c r="N57" s="5"/>
      <c r="O57" s="66"/>
    </row>
    <row r="58" spans="1:15" s="76" customFormat="1" ht="15" outlineLevel="1" x14ac:dyDescent="0.25">
      <c r="A58" s="68" t="s">
        <v>143</v>
      </c>
      <c r="B58" s="69"/>
      <c r="C58" s="70" t="s">
        <v>9</v>
      </c>
      <c r="D58" s="69" t="s">
        <v>137</v>
      </c>
      <c r="E58" s="69"/>
      <c r="F58" s="70" t="s">
        <v>26</v>
      </c>
      <c r="G58" s="70">
        <v>97.44</v>
      </c>
      <c r="H58" s="71"/>
      <c r="I58" s="72">
        <f>SUMPRODUCT(G59:G59,I59:I59)/G58</f>
        <v>0</v>
      </c>
      <c r="J58" s="73">
        <v>0</v>
      </c>
      <c r="K58" s="74">
        <f>SUM(I58:J58)</f>
        <v>0</v>
      </c>
      <c r="L58" s="74">
        <f>G58*I58</f>
        <v>0</v>
      </c>
      <c r="M58" s="74">
        <f>J58*G58</f>
        <v>0</v>
      </c>
      <c r="N58" s="74">
        <f>SUM(L58:M58)</f>
        <v>0</v>
      </c>
      <c r="O58" s="75"/>
    </row>
    <row r="59" spans="1:15" s="31" customFormat="1" outlineLevel="2" x14ac:dyDescent="0.25">
      <c r="A59" s="16" t="s">
        <v>144</v>
      </c>
      <c r="B59" s="32"/>
      <c r="C59" s="11" t="s">
        <v>10</v>
      </c>
      <c r="D59" s="18" t="s">
        <v>138</v>
      </c>
      <c r="E59" s="32"/>
      <c r="F59" s="19" t="s">
        <v>26</v>
      </c>
      <c r="G59" s="5">
        <f>G58*H59</f>
        <v>112.05599999999998</v>
      </c>
      <c r="H59" s="20">
        <v>1.1499999999999999</v>
      </c>
      <c r="I59" s="58">
        <v>0</v>
      </c>
      <c r="J59" s="59"/>
      <c r="K59" s="5"/>
      <c r="L59" s="5"/>
      <c r="M59" s="5"/>
      <c r="N59" s="5"/>
      <c r="O59" s="66"/>
    </row>
    <row r="60" spans="1:15" s="76" customFormat="1" ht="15" outlineLevel="1" x14ac:dyDescent="0.25">
      <c r="A60" s="68" t="s">
        <v>145</v>
      </c>
      <c r="B60" s="69"/>
      <c r="C60" s="70" t="s">
        <v>9</v>
      </c>
      <c r="D60" s="69" t="s">
        <v>97</v>
      </c>
      <c r="E60" s="69"/>
      <c r="F60" s="70" t="s">
        <v>26</v>
      </c>
      <c r="G60" s="70">
        <v>97.44</v>
      </c>
      <c r="H60" s="71"/>
      <c r="I60" s="72">
        <f>SUMPRODUCT(G61:G61,I61:I61)/G60</f>
        <v>0</v>
      </c>
      <c r="J60" s="73">
        <v>0</v>
      </c>
      <c r="K60" s="74">
        <f>SUM(I60:J60)</f>
        <v>0</v>
      </c>
      <c r="L60" s="74">
        <f>G60*I60</f>
        <v>0</v>
      </c>
      <c r="M60" s="74">
        <f>J60*G60</f>
        <v>0</v>
      </c>
      <c r="N60" s="74">
        <f>SUM(L60:M60)</f>
        <v>0</v>
      </c>
      <c r="O60" s="75"/>
    </row>
    <row r="61" spans="1:15" s="31" customFormat="1" outlineLevel="2" x14ac:dyDescent="0.25">
      <c r="A61" s="16" t="s">
        <v>146</v>
      </c>
      <c r="B61" s="32"/>
      <c r="C61" s="11" t="s">
        <v>10</v>
      </c>
      <c r="D61" s="18" t="s">
        <v>129</v>
      </c>
      <c r="E61" s="32"/>
      <c r="F61" s="19" t="s">
        <v>26</v>
      </c>
      <c r="G61" s="5">
        <f>G60*H61</f>
        <v>100.36320000000001</v>
      </c>
      <c r="H61" s="20">
        <v>1.03</v>
      </c>
      <c r="I61" s="58">
        <v>0</v>
      </c>
      <c r="J61" s="59"/>
      <c r="K61" s="5"/>
      <c r="L61" s="5"/>
      <c r="M61" s="5"/>
      <c r="N61" s="5"/>
      <c r="O61" s="66"/>
    </row>
    <row r="62" spans="1:15" s="76" customFormat="1" ht="15" outlineLevel="1" x14ac:dyDescent="0.25">
      <c r="A62" s="68" t="s">
        <v>147</v>
      </c>
      <c r="B62" s="69"/>
      <c r="C62" s="70" t="s">
        <v>9</v>
      </c>
      <c r="D62" s="69" t="s">
        <v>100</v>
      </c>
      <c r="E62" s="69"/>
      <c r="F62" s="70" t="s">
        <v>26</v>
      </c>
      <c r="G62" s="70">
        <v>97.44</v>
      </c>
      <c r="H62" s="71"/>
      <c r="I62" s="72">
        <f>SUMPRODUCT(G63:G63,I63:I63)/G62</f>
        <v>0</v>
      </c>
      <c r="J62" s="73">
        <v>0</v>
      </c>
      <c r="K62" s="74">
        <f>SUM(I62:J62)</f>
        <v>0</v>
      </c>
      <c r="L62" s="74">
        <f>G62*I62</f>
        <v>0</v>
      </c>
      <c r="M62" s="74">
        <f>J62*G62</f>
        <v>0</v>
      </c>
      <c r="N62" s="74">
        <f>SUM(L62:M62)</f>
        <v>0</v>
      </c>
      <c r="O62" s="75"/>
    </row>
    <row r="63" spans="1:15" s="31" customFormat="1" outlineLevel="2" x14ac:dyDescent="0.25">
      <c r="A63" s="16" t="s">
        <v>148</v>
      </c>
      <c r="B63" s="32"/>
      <c r="C63" s="11" t="s">
        <v>10</v>
      </c>
      <c r="D63" s="18" t="s">
        <v>128</v>
      </c>
      <c r="E63" s="32"/>
      <c r="F63" s="19" t="s">
        <v>26</v>
      </c>
      <c r="G63" s="5">
        <f>G62*H63</f>
        <v>109.1328</v>
      </c>
      <c r="H63" s="20">
        <v>1.1200000000000001</v>
      </c>
      <c r="I63" s="58">
        <v>0</v>
      </c>
      <c r="J63" s="59"/>
      <c r="K63" s="5"/>
      <c r="L63" s="5"/>
      <c r="M63" s="5"/>
      <c r="N63" s="5"/>
      <c r="O63" s="66"/>
    </row>
    <row r="64" spans="1:15" s="85" customFormat="1" ht="15" x14ac:dyDescent="0.25">
      <c r="A64" s="78" t="s">
        <v>63</v>
      </c>
      <c r="B64" s="79"/>
      <c r="C64" s="80"/>
      <c r="D64" s="81" t="s">
        <v>153</v>
      </c>
      <c r="E64" s="79"/>
      <c r="F64" s="79"/>
      <c r="G64" s="82"/>
      <c r="H64" s="82"/>
      <c r="I64" s="83"/>
      <c r="J64" s="83"/>
      <c r="K64" s="82"/>
      <c r="L64" s="82">
        <f>SUBTOTAL(9,L65:L74)</f>
        <v>0</v>
      </c>
      <c r="M64" s="82">
        <f>SUBTOTAL(9,M65:M74)</f>
        <v>0</v>
      </c>
      <c r="N64" s="82">
        <f>SUBTOTAL(9,N65:N74)</f>
        <v>0</v>
      </c>
      <c r="O64" s="84"/>
    </row>
    <row r="65" spans="1:15" s="76" customFormat="1" ht="15" outlineLevel="1" x14ac:dyDescent="0.25">
      <c r="A65" s="68" t="s">
        <v>159</v>
      </c>
      <c r="B65" s="69"/>
      <c r="C65" s="70" t="s">
        <v>9</v>
      </c>
      <c r="D65" s="69" t="s">
        <v>137</v>
      </c>
      <c r="E65" s="69"/>
      <c r="F65" s="70" t="s">
        <v>26</v>
      </c>
      <c r="G65" s="70">
        <v>147.83000000000001</v>
      </c>
      <c r="H65" s="71"/>
      <c r="I65" s="72">
        <f>SUMPRODUCT(G66:G66,I66:I66)/G65</f>
        <v>0</v>
      </c>
      <c r="J65" s="73">
        <v>0</v>
      </c>
      <c r="K65" s="74">
        <f>SUM(I65:J65)</f>
        <v>0</v>
      </c>
      <c r="L65" s="74">
        <f>G65*I65</f>
        <v>0</v>
      </c>
      <c r="M65" s="74">
        <f>J65*G65</f>
        <v>0</v>
      </c>
      <c r="N65" s="74">
        <f>SUM(L65:M65)</f>
        <v>0</v>
      </c>
      <c r="O65" s="75"/>
    </row>
    <row r="66" spans="1:15" s="31" customFormat="1" outlineLevel="2" x14ac:dyDescent="0.25">
      <c r="A66" s="16" t="s">
        <v>160</v>
      </c>
      <c r="B66" s="32"/>
      <c r="C66" s="11" t="s">
        <v>10</v>
      </c>
      <c r="D66" s="18" t="s">
        <v>138</v>
      </c>
      <c r="E66" s="32"/>
      <c r="F66" s="19" t="s">
        <v>26</v>
      </c>
      <c r="G66" s="5">
        <f>G65*H66</f>
        <v>170.00450000000001</v>
      </c>
      <c r="H66" s="20">
        <v>1.1499999999999999</v>
      </c>
      <c r="I66" s="58">
        <v>0</v>
      </c>
      <c r="J66" s="59"/>
      <c r="K66" s="5"/>
      <c r="L66" s="5"/>
      <c r="M66" s="5"/>
      <c r="N66" s="5"/>
      <c r="O66" s="66"/>
    </row>
    <row r="67" spans="1:15" s="76" customFormat="1" ht="15" outlineLevel="1" x14ac:dyDescent="0.25">
      <c r="A67" s="68" t="s">
        <v>161</v>
      </c>
      <c r="B67" s="69"/>
      <c r="C67" s="70" t="s">
        <v>9</v>
      </c>
      <c r="D67" s="69" t="s">
        <v>139</v>
      </c>
      <c r="E67" s="69"/>
      <c r="F67" s="70" t="s">
        <v>26</v>
      </c>
      <c r="G67" s="70">
        <v>147.83000000000001</v>
      </c>
      <c r="H67" s="71"/>
      <c r="I67" s="72">
        <f>SUMPRODUCT(G68:G68,I68:I68)/G67</f>
        <v>0</v>
      </c>
      <c r="J67" s="73">
        <v>0</v>
      </c>
      <c r="K67" s="74">
        <f>SUM(I67:J67)</f>
        <v>0</v>
      </c>
      <c r="L67" s="74">
        <f>G67*I67</f>
        <v>0</v>
      </c>
      <c r="M67" s="74">
        <f>J67*G67</f>
        <v>0</v>
      </c>
      <c r="N67" s="74">
        <f>SUM(L67:M67)</f>
        <v>0</v>
      </c>
      <c r="O67" s="75"/>
    </row>
    <row r="68" spans="1:15" s="31" customFormat="1" outlineLevel="2" x14ac:dyDescent="0.25">
      <c r="A68" s="16" t="s">
        <v>162</v>
      </c>
      <c r="B68" s="32"/>
      <c r="C68" s="11" t="s">
        <v>10</v>
      </c>
      <c r="D68" s="18" t="s">
        <v>140</v>
      </c>
      <c r="E68" s="32"/>
      <c r="F68" s="19" t="s">
        <v>26</v>
      </c>
      <c r="G68" s="5">
        <f>G67*H68</f>
        <v>170.00450000000001</v>
      </c>
      <c r="H68" s="20">
        <v>1.1499999999999999</v>
      </c>
      <c r="I68" s="58">
        <v>0</v>
      </c>
      <c r="J68" s="59"/>
      <c r="K68" s="5"/>
      <c r="L68" s="5"/>
      <c r="M68" s="5"/>
      <c r="N68" s="5"/>
      <c r="O68" s="66"/>
    </row>
    <row r="69" spans="1:15" s="76" customFormat="1" ht="15" outlineLevel="1" x14ac:dyDescent="0.25">
      <c r="A69" s="68" t="s">
        <v>156</v>
      </c>
      <c r="B69" s="69"/>
      <c r="C69" s="70" t="s">
        <v>9</v>
      </c>
      <c r="D69" s="69" t="s">
        <v>137</v>
      </c>
      <c r="E69" s="69"/>
      <c r="F69" s="70" t="s">
        <v>26</v>
      </c>
      <c r="G69" s="70">
        <v>147.83000000000001</v>
      </c>
      <c r="H69" s="71"/>
      <c r="I69" s="72">
        <f>SUMPRODUCT(G70:G70,I70:I70)/G69</f>
        <v>0</v>
      </c>
      <c r="J69" s="73">
        <v>0</v>
      </c>
      <c r="K69" s="74">
        <f>SUM(I69:J69)</f>
        <v>0</v>
      </c>
      <c r="L69" s="74">
        <f>G69*I69</f>
        <v>0</v>
      </c>
      <c r="M69" s="74">
        <f>J69*G69</f>
        <v>0</v>
      </c>
      <c r="N69" s="74">
        <f>SUM(L69:M69)</f>
        <v>0</v>
      </c>
      <c r="O69" s="75"/>
    </row>
    <row r="70" spans="1:15" s="31" customFormat="1" outlineLevel="2" x14ac:dyDescent="0.25">
      <c r="A70" s="16" t="s">
        <v>157</v>
      </c>
      <c r="B70" s="32"/>
      <c r="C70" s="11" t="s">
        <v>10</v>
      </c>
      <c r="D70" s="18" t="s">
        <v>138</v>
      </c>
      <c r="E70" s="32"/>
      <c r="F70" s="19" t="s">
        <v>26</v>
      </c>
      <c r="G70" s="5">
        <f>G69*H70</f>
        <v>170.00450000000001</v>
      </c>
      <c r="H70" s="20">
        <v>1.1499999999999999</v>
      </c>
      <c r="I70" s="58">
        <v>0</v>
      </c>
      <c r="J70" s="59"/>
      <c r="K70" s="5"/>
      <c r="L70" s="5"/>
      <c r="M70" s="5"/>
      <c r="N70" s="5"/>
      <c r="O70" s="66"/>
    </row>
    <row r="71" spans="1:15" s="76" customFormat="1" ht="15" outlineLevel="1" x14ac:dyDescent="0.25">
      <c r="A71" s="68" t="s">
        <v>158</v>
      </c>
      <c r="B71" s="69"/>
      <c r="C71" s="70" t="s">
        <v>9</v>
      </c>
      <c r="D71" s="69" t="s">
        <v>97</v>
      </c>
      <c r="E71" s="69"/>
      <c r="F71" s="70" t="s">
        <v>26</v>
      </c>
      <c r="G71" s="70">
        <v>147.83000000000001</v>
      </c>
      <c r="H71" s="71"/>
      <c r="I71" s="72">
        <f>SUMPRODUCT(G72:G72,I72:I72)/G71</f>
        <v>0</v>
      </c>
      <c r="J71" s="73">
        <v>0</v>
      </c>
      <c r="K71" s="74">
        <f>SUM(I71:J71)</f>
        <v>0</v>
      </c>
      <c r="L71" s="74">
        <f>G71*I71</f>
        <v>0</v>
      </c>
      <c r="M71" s="74">
        <f>J71*G71</f>
        <v>0</v>
      </c>
      <c r="N71" s="74">
        <f>SUM(L71:M71)</f>
        <v>0</v>
      </c>
      <c r="O71" s="75"/>
    </row>
    <row r="72" spans="1:15" s="31" customFormat="1" outlineLevel="2" x14ac:dyDescent="0.25">
      <c r="A72" s="16" t="s">
        <v>163</v>
      </c>
      <c r="B72" s="32"/>
      <c r="C72" s="11" t="s">
        <v>10</v>
      </c>
      <c r="D72" s="18" t="s">
        <v>129</v>
      </c>
      <c r="E72" s="32"/>
      <c r="F72" s="19" t="s">
        <v>26</v>
      </c>
      <c r="G72" s="5">
        <f>G71*H72</f>
        <v>152.26490000000001</v>
      </c>
      <c r="H72" s="20">
        <v>1.03</v>
      </c>
      <c r="I72" s="58">
        <v>0</v>
      </c>
      <c r="J72" s="59"/>
      <c r="K72" s="5"/>
      <c r="L72" s="5"/>
      <c r="M72" s="5"/>
      <c r="N72" s="5"/>
      <c r="O72" s="66"/>
    </row>
    <row r="73" spans="1:15" s="76" customFormat="1" ht="15" outlineLevel="1" x14ac:dyDescent="0.25">
      <c r="A73" s="68" t="s">
        <v>164</v>
      </c>
      <c r="B73" s="69"/>
      <c r="C73" s="70" t="s">
        <v>9</v>
      </c>
      <c r="D73" s="69" t="s">
        <v>100</v>
      </c>
      <c r="E73" s="69"/>
      <c r="F73" s="70" t="s">
        <v>26</v>
      </c>
      <c r="G73" s="70">
        <v>147.83000000000001</v>
      </c>
      <c r="H73" s="71"/>
      <c r="I73" s="72">
        <f>SUMPRODUCT(G74:G74,I74:I74)/G73</f>
        <v>0</v>
      </c>
      <c r="J73" s="73">
        <v>0</v>
      </c>
      <c r="K73" s="74">
        <f>SUM(I73:J73)</f>
        <v>0</v>
      </c>
      <c r="L73" s="74">
        <f>G73*I73</f>
        <v>0</v>
      </c>
      <c r="M73" s="74">
        <f>J73*G73</f>
        <v>0</v>
      </c>
      <c r="N73" s="74">
        <f>SUM(L73:M73)</f>
        <v>0</v>
      </c>
      <c r="O73" s="75"/>
    </row>
    <row r="74" spans="1:15" s="31" customFormat="1" outlineLevel="2" x14ac:dyDescent="0.25">
      <c r="A74" s="16" t="s">
        <v>165</v>
      </c>
      <c r="B74" s="32"/>
      <c r="C74" s="11" t="s">
        <v>10</v>
      </c>
      <c r="D74" s="18" t="s">
        <v>128</v>
      </c>
      <c r="E74" s="32"/>
      <c r="F74" s="19" t="s">
        <v>26</v>
      </c>
      <c r="G74" s="5">
        <f>G73*H74</f>
        <v>165.56960000000004</v>
      </c>
      <c r="H74" s="20">
        <v>1.1200000000000001</v>
      </c>
      <c r="I74" s="58">
        <v>0</v>
      </c>
      <c r="J74" s="59"/>
      <c r="K74" s="5"/>
      <c r="L74" s="5"/>
      <c r="M74" s="5"/>
      <c r="N74" s="5"/>
      <c r="O74" s="66"/>
    </row>
    <row r="75" spans="1:15" s="85" customFormat="1" ht="15" x14ac:dyDescent="0.25">
      <c r="A75" s="78" t="s">
        <v>66</v>
      </c>
      <c r="B75" s="79"/>
      <c r="C75" s="80"/>
      <c r="D75" s="81" t="s">
        <v>170</v>
      </c>
      <c r="E75" s="79"/>
      <c r="F75" s="79"/>
      <c r="G75" s="82"/>
      <c r="H75" s="82"/>
      <c r="I75" s="83"/>
      <c r="J75" s="83"/>
      <c r="K75" s="82"/>
      <c r="L75" s="82">
        <f>SUBTOTAL(9,L76:L79)</f>
        <v>0</v>
      </c>
      <c r="M75" s="82">
        <f>SUBTOTAL(9,M76:M79)</f>
        <v>0</v>
      </c>
      <c r="N75" s="82">
        <f>SUBTOTAL(9,N76:N79)</f>
        <v>0</v>
      </c>
      <c r="O75" s="84"/>
    </row>
    <row r="76" spans="1:15" s="76" customFormat="1" ht="15" outlineLevel="1" x14ac:dyDescent="0.25">
      <c r="A76" s="68" t="s">
        <v>164</v>
      </c>
      <c r="B76" s="69"/>
      <c r="C76" s="70" t="s">
        <v>9</v>
      </c>
      <c r="D76" s="69" t="s">
        <v>171</v>
      </c>
      <c r="E76" s="69"/>
      <c r="F76" s="70" t="s">
        <v>173</v>
      </c>
      <c r="G76" s="70">
        <v>10</v>
      </c>
      <c r="H76" s="71"/>
      <c r="I76" s="72">
        <f>SUMPRODUCT(G77:G77,I77:I77)/G76</f>
        <v>0</v>
      </c>
      <c r="J76" s="73">
        <v>0</v>
      </c>
      <c r="K76" s="74">
        <f>SUM(I76:J76)</f>
        <v>0</v>
      </c>
      <c r="L76" s="74">
        <f>G76*I76</f>
        <v>0</v>
      </c>
      <c r="M76" s="74">
        <f>J76*G76</f>
        <v>0</v>
      </c>
      <c r="N76" s="74">
        <f>SUM(L76:M76)</f>
        <v>0</v>
      </c>
      <c r="O76" s="75"/>
    </row>
    <row r="77" spans="1:15" s="31" customFormat="1" ht="31.5" outlineLevel="2" x14ac:dyDescent="0.25">
      <c r="A77" s="16" t="s">
        <v>165</v>
      </c>
      <c r="B77" s="32"/>
      <c r="C77" s="11" t="s">
        <v>10</v>
      </c>
      <c r="D77" s="18" t="s">
        <v>172</v>
      </c>
      <c r="E77" s="32"/>
      <c r="F77" s="19" t="s">
        <v>173</v>
      </c>
      <c r="G77" s="5">
        <f>G76*H77</f>
        <v>10</v>
      </c>
      <c r="H77" s="20">
        <v>1</v>
      </c>
      <c r="I77" s="58">
        <v>0</v>
      </c>
      <c r="J77" s="59"/>
      <c r="K77" s="5"/>
      <c r="L77" s="5"/>
      <c r="M77" s="5"/>
      <c r="N77" s="5"/>
      <c r="O77" s="66"/>
    </row>
    <row r="78" spans="1:15" s="76" customFormat="1" ht="15" outlineLevel="1" x14ac:dyDescent="0.25">
      <c r="A78" s="68" t="s">
        <v>164</v>
      </c>
      <c r="B78" s="69"/>
      <c r="C78" s="70" t="s">
        <v>9</v>
      </c>
      <c r="D78" s="69" t="s">
        <v>174</v>
      </c>
      <c r="E78" s="69"/>
      <c r="F78" s="70" t="s">
        <v>173</v>
      </c>
      <c r="G78" s="70">
        <v>9</v>
      </c>
      <c r="H78" s="71"/>
      <c r="I78" s="72">
        <f>SUMPRODUCT(G79:G79,I79:I79)/G78</f>
        <v>0</v>
      </c>
      <c r="J78" s="73">
        <v>0</v>
      </c>
      <c r="K78" s="74">
        <f>SUM(I78:J78)</f>
        <v>0</v>
      </c>
      <c r="L78" s="74">
        <f>G78*I78</f>
        <v>0</v>
      </c>
      <c r="M78" s="74">
        <f>J78*G78</f>
        <v>0</v>
      </c>
      <c r="N78" s="74">
        <f>SUM(L78:M78)</f>
        <v>0</v>
      </c>
      <c r="O78" s="75"/>
    </row>
    <row r="79" spans="1:15" s="31" customFormat="1" ht="31.5" outlineLevel="2" x14ac:dyDescent="0.25">
      <c r="A79" s="16" t="s">
        <v>165</v>
      </c>
      <c r="B79" s="32"/>
      <c r="C79" s="11" t="s">
        <v>10</v>
      </c>
      <c r="D79" s="18" t="s">
        <v>175</v>
      </c>
      <c r="E79" s="32"/>
      <c r="F79" s="19" t="s">
        <v>173</v>
      </c>
      <c r="G79" s="5">
        <f>G78*H79</f>
        <v>9</v>
      </c>
      <c r="H79" s="20">
        <v>1</v>
      </c>
      <c r="I79" s="58">
        <v>0</v>
      </c>
      <c r="J79" s="59"/>
      <c r="K79" s="5"/>
      <c r="L79" s="5"/>
      <c r="M79" s="5"/>
      <c r="N79" s="5"/>
      <c r="O79" s="66"/>
    </row>
    <row r="80" spans="1:15" s="34" customFormat="1" collapsed="1" x14ac:dyDescent="0.25">
      <c r="A80" s="33"/>
      <c r="B80" s="6"/>
      <c r="C80" s="7"/>
      <c r="D80" s="8" t="s">
        <v>11</v>
      </c>
      <c r="E80" s="9"/>
      <c r="F80" s="9"/>
      <c r="G80" s="10"/>
      <c r="H80" s="10"/>
      <c r="I80" s="63"/>
      <c r="J80" s="60"/>
      <c r="K80" s="10"/>
      <c r="L80" s="10">
        <f>SUBTOTAL(9,L18:L79)</f>
        <v>0</v>
      </c>
      <c r="M80" s="10">
        <f>SUBTOTAL(9,M18:M79)</f>
        <v>0</v>
      </c>
      <c r="N80" s="10">
        <f>SUBTOTAL(9,N18:N79)</f>
        <v>0</v>
      </c>
      <c r="O80" s="67"/>
    </row>
    <row r="81" spans="1:15" s="34" customFormat="1" x14ac:dyDescent="0.25">
      <c r="A81" s="33"/>
      <c r="B81" s="6"/>
      <c r="C81" s="7"/>
      <c r="D81" s="8" t="s">
        <v>12</v>
      </c>
      <c r="E81" s="9"/>
      <c r="F81" s="9"/>
      <c r="G81" s="10"/>
      <c r="H81" s="10"/>
      <c r="I81" s="63"/>
      <c r="J81" s="60"/>
      <c r="K81" s="10"/>
      <c r="L81" s="10">
        <f>L80/120*20</f>
        <v>0</v>
      </c>
      <c r="M81" s="10">
        <f>M80/120*20</f>
        <v>0</v>
      </c>
      <c r="N81" s="10">
        <f>N80/120*20</f>
        <v>0</v>
      </c>
      <c r="O81" s="67"/>
    </row>
    <row r="83" spans="1:15" x14ac:dyDescent="0.25">
      <c r="A83" s="35" t="s">
        <v>38</v>
      </c>
      <c r="B83" s="36"/>
      <c r="C83" s="35"/>
      <c r="D83" s="37"/>
      <c r="E83" s="38"/>
      <c r="F83" s="39"/>
      <c r="G83" s="40"/>
    </row>
    <row r="84" spans="1:15" x14ac:dyDescent="0.25">
      <c r="A84" s="41" t="s">
        <v>39</v>
      </c>
      <c r="B84" s="42"/>
      <c r="C84" s="41"/>
      <c r="D84" s="43"/>
      <c r="E84" s="38"/>
      <c r="F84" s="39"/>
      <c r="G84" s="40"/>
    </row>
    <row r="85" spans="1:15" x14ac:dyDescent="0.25">
      <c r="A85" s="103" t="s">
        <v>40</v>
      </c>
      <c r="B85" s="103"/>
      <c r="C85" s="103"/>
      <c r="D85" s="103"/>
      <c r="E85" s="103"/>
      <c r="F85" s="103"/>
      <c r="G85" s="103"/>
    </row>
    <row r="86" spans="1:15" x14ac:dyDescent="0.25">
      <c r="A86" s="41" t="s">
        <v>41</v>
      </c>
      <c r="B86" s="42"/>
      <c r="C86" s="41"/>
      <c r="D86" s="43"/>
      <c r="E86" s="38"/>
      <c r="F86" s="44"/>
      <c r="G86" s="38"/>
    </row>
    <row r="87" spans="1:15" x14ac:dyDescent="0.25">
      <c r="A87" s="41" t="s">
        <v>168</v>
      </c>
      <c r="B87" s="42"/>
      <c r="C87" s="41"/>
      <c r="D87" s="43"/>
      <c r="E87" s="38"/>
      <c r="F87" s="38"/>
      <c r="G87" s="38"/>
    </row>
    <row r="88" spans="1:15" x14ac:dyDescent="0.25">
      <c r="A88" s="41" t="s">
        <v>169</v>
      </c>
      <c r="B88" s="42"/>
      <c r="C88" s="41"/>
      <c r="D88" s="43"/>
      <c r="E88" s="38"/>
      <c r="F88" s="38"/>
      <c r="G88" s="38"/>
    </row>
    <row r="89" spans="1:15" x14ac:dyDescent="0.25">
      <c r="A89" s="41" t="s">
        <v>42</v>
      </c>
      <c r="B89" s="42"/>
      <c r="C89" s="41"/>
      <c r="D89" s="43"/>
      <c r="E89" s="40"/>
      <c r="F89" s="40"/>
      <c r="G89" s="45"/>
    </row>
    <row r="90" spans="1:15" x14ac:dyDescent="0.25">
      <c r="A90" s="41" t="s">
        <v>43</v>
      </c>
      <c r="B90" s="42"/>
      <c r="C90" s="41"/>
      <c r="D90" s="43"/>
      <c r="E90" s="40"/>
      <c r="F90" s="40"/>
      <c r="G90" s="45"/>
    </row>
    <row r="91" spans="1:15" x14ac:dyDescent="0.25">
      <c r="A91" s="41" t="s">
        <v>44</v>
      </c>
      <c r="B91" s="42"/>
      <c r="C91" s="41"/>
      <c r="D91" s="43"/>
      <c r="E91" s="40"/>
      <c r="F91" s="40"/>
      <c r="G91" s="45"/>
    </row>
    <row r="92" spans="1:15" x14ac:dyDescent="0.25">
      <c r="A92" s="41" t="s">
        <v>45</v>
      </c>
      <c r="B92" s="42"/>
      <c r="C92" s="41"/>
      <c r="D92" s="43"/>
      <c r="E92" s="40"/>
      <c r="F92" s="40"/>
      <c r="G92" s="45"/>
    </row>
    <row r="93" spans="1:15" x14ac:dyDescent="0.25">
      <c r="A93" s="41" t="s">
        <v>46</v>
      </c>
      <c r="B93" s="42"/>
      <c r="C93" s="41"/>
      <c r="D93" s="43"/>
      <c r="E93" s="40"/>
      <c r="F93" s="40"/>
      <c r="G93" s="45"/>
    </row>
    <row r="94" spans="1:15" x14ac:dyDescent="0.25">
      <c r="A94" s="41" t="s">
        <v>47</v>
      </c>
      <c r="B94" s="42"/>
      <c r="C94" s="41"/>
      <c r="D94" s="43"/>
      <c r="E94" s="40"/>
      <c r="F94" s="40"/>
      <c r="G94" s="45"/>
    </row>
    <row r="95" spans="1:15" x14ac:dyDescent="0.25">
      <c r="A95" s="41" t="s">
        <v>48</v>
      </c>
      <c r="B95" s="42"/>
      <c r="C95" s="41"/>
      <c r="D95" s="43"/>
      <c r="E95" s="40"/>
      <c r="F95" s="40"/>
      <c r="G95" s="45"/>
    </row>
    <row r="96" spans="1:15" x14ac:dyDescent="0.25">
      <c r="A96" s="41" t="s">
        <v>49</v>
      </c>
      <c r="B96" s="42"/>
      <c r="C96" s="41"/>
      <c r="D96" s="43"/>
      <c r="E96" s="40"/>
      <c r="F96" s="40"/>
      <c r="G96" s="45"/>
    </row>
    <row r="97" spans="1:10" x14ac:dyDescent="0.25">
      <c r="A97" s="41" t="s">
        <v>50</v>
      </c>
      <c r="B97" s="42"/>
      <c r="C97" s="41"/>
      <c r="D97" s="43"/>
      <c r="E97" s="40"/>
      <c r="F97" s="40"/>
      <c r="G97" s="45"/>
    </row>
    <row r="98" spans="1:10" x14ac:dyDescent="0.25">
      <c r="A98" s="41" t="s">
        <v>51</v>
      </c>
      <c r="B98" s="42"/>
      <c r="C98" s="41"/>
      <c r="D98" s="43"/>
      <c r="E98" s="40"/>
      <c r="F98" s="40"/>
      <c r="G98" s="45"/>
    </row>
    <row r="99" spans="1:10" x14ac:dyDescent="0.25">
      <c r="A99" s="41" t="s">
        <v>154</v>
      </c>
      <c r="B99" s="42"/>
      <c r="C99" s="41"/>
      <c r="D99" s="43"/>
      <c r="E99" s="40"/>
      <c r="F99" s="40"/>
      <c r="G99" s="45"/>
    </row>
    <row r="100" spans="1:10" x14ac:dyDescent="0.25">
      <c r="A100" s="41" t="s">
        <v>155</v>
      </c>
      <c r="B100" s="42"/>
      <c r="C100" s="41"/>
      <c r="D100" s="43"/>
      <c r="E100" s="40"/>
      <c r="F100" s="40"/>
      <c r="G100" s="45"/>
    </row>
    <row r="102" spans="1:10" ht="22.5" x14ac:dyDescent="0.25">
      <c r="A102" s="46" t="s">
        <v>52</v>
      </c>
      <c r="B102" s="47"/>
      <c r="C102" s="48"/>
      <c r="D102" s="49"/>
      <c r="E102" s="50"/>
      <c r="F102" s="51"/>
      <c r="G102" s="108"/>
      <c r="H102" s="109"/>
      <c r="I102" s="109"/>
      <c r="J102" s="110"/>
    </row>
    <row r="103" spans="1:10" ht="56.25" customHeight="1" x14ac:dyDescent="0.25">
      <c r="A103" s="52" t="s">
        <v>53</v>
      </c>
      <c r="B103" s="52"/>
      <c r="C103" s="107" t="s">
        <v>54</v>
      </c>
      <c r="D103" s="107"/>
      <c r="E103" s="53" t="s">
        <v>55</v>
      </c>
      <c r="F103" s="54" t="s">
        <v>55</v>
      </c>
      <c r="G103" s="106"/>
      <c r="H103" s="106"/>
      <c r="I103" s="106"/>
      <c r="J103" s="106"/>
    </row>
    <row r="104" spans="1:10" ht="18.75" x14ac:dyDescent="0.25">
      <c r="A104" s="52" t="s">
        <v>56</v>
      </c>
      <c r="B104" s="52"/>
      <c r="C104" s="107" t="s">
        <v>57</v>
      </c>
      <c r="D104" s="107"/>
      <c r="E104" s="55" t="s">
        <v>58</v>
      </c>
      <c r="F104" s="54" t="s">
        <v>59</v>
      </c>
      <c r="G104" s="106"/>
      <c r="H104" s="106"/>
      <c r="I104" s="106"/>
      <c r="J104" s="106"/>
    </row>
    <row r="105" spans="1:10" ht="37.5" x14ac:dyDescent="0.25">
      <c r="A105" s="52" t="s">
        <v>60</v>
      </c>
      <c r="B105" s="52"/>
      <c r="C105" s="107" t="s">
        <v>61</v>
      </c>
      <c r="D105" s="107"/>
      <c r="E105" s="53" t="s">
        <v>59</v>
      </c>
      <c r="F105" s="54" t="s">
        <v>62</v>
      </c>
      <c r="G105" s="106"/>
      <c r="H105" s="106"/>
      <c r="I105" s="106"/>
      <c r="J105" s="106"/>
    </row>
    <row r="106" spans="1:10" ht="18.75" x14ac:dyDescent="0.25">
      <c r="A106" s="52" t="s">
        <v>63</v>
      </c>
      <c r="B106" s="52"/>
      <c r="C106" s="107" t="s">
        <v>64</v>
      </c>
      <c r="D106" s="107"/>
      <c r="E106" s="53" t="s">
        <v>65</v>
      </c>
      <c r="F106" s="54" t="s">
        <v>65</v>
      </c>
      <c r="G106" s="106"/>
      <c r="H106" s="106"/>
      <c r="I106" s="106"/>
      <c r="J106" s="106"/>
    </row>
    <row r="107" spans="1:10" ht="18.75" x14ac:dyDescent="0.25">
      <c r="A107" s="52" t="s">
        <v>66</v>
      </c>
      <c r="B107" s="52"/>
      <c r="C107" s="107" t="s">
        <v>67</v>
      </c>
      <c r="D107" s="107"/>
      <c r="E107" s="53" t="s">
        <v>58</v>
      </c>
      <c r="F107" s="54" t="s">
        <v>59</v>
      </c>
      <c r="G107" s="106"/>
      <c r="H107" s="106"/>
      <c r="I107" s="106"/>
      <c r="J107" s="106"/>
    </row>
    <row r="108" spans="1:10" ht="56.25" x14ac:dyDescent="0.25">
      <c r="A108" s="52" t="s">
        <v>68</v>
      </c>
      <c r="B108" s="52"/>
      <c r="C108" s="107" t="s">
        <v>69</v>
      </c>
      <c r="D108" s="107"/>
      <c r="E108" s="53" t="s">
        <v>70</v>
      </c>
      <c r="F108" s="54" t="s">
        <v>70</v>
      </c>
      <c r="G108" s="106"/>
      <c r="H108" s="106"/>
      <c r="I108" s="106"/>
      <c r="J108" s="106"/>
    </row>
    <row r="109" spans="1:10" ht="18.75" x14ac:dyDescent="0.25">
      <c r="A109" s="52" t="s">
        <v>71</v>
      </c>
      <c r="B109" s="52"/>
      <c r="C109" s="107" t="s">
        <v>72</v>
      </c>
      <c r="D109" s="107"/>
      <c r="E109" s="53" t="s">
        <v>58</v>
      </c>
      <c r="F109" s="54" t="s">
        <v>58</v>
      </c>
      <c r="G109" s="106"/>
      <c r="H109" s="106"/>
      <c r="I109" s="106"/>
      <c r="J109" s="106"/>
    </row>
    <row r="110" spans="1:10" ht="37.5" x14ac:dyDescent="0.25">
      <c r="A110" s="52" t="s">
        <v>73</v>
      </c>
      <c r="B110" s="52"/>
      <c r="C110" s="107" t="s">
        <v>74</v>
      </c>
      <c r="D110" s="107"/>
      <c r="E110" s="53" t="s">
        <v>75</v>
      </c>
      <c r="F110" s="54" t="s">
        <v>75</v>
      </c>
      <c r="G110" s="106"/>
      <c r="H110" s="106"/>
      <c r="I110" s="106"/>
      <c r="J110" s="106"/>
    </row>
    <row r="111" spans="1:10" ht="37.5" x14ac:dyDescent="0.25">
      <c r="A111" s="52" t="s">
        <v>76</v>
      </c>
      <c r="B111" s="52"/>
      <c r="C111" s="107" t="s">
        <v>77</v>
      </c>
      <c r="D111" s="107"/>
      <c r="E111" s="53" t="s">
        <v>78</v>
      </c>
      <c r="F111" s="54" t="s">
        <v>78</v>
      </c>
      <c r="G111" s="106"/>
      <c r="H111" s="106"/>
      <c r="I111" s="106"/>
      <c r="J111" s="106"/>
    </row>
    <row r="112" spans="1:10" ht="18.75" x14ac:dyDescent="0.25">
      <c r="A112" s="52" t="s">
        <v>79</v>
      </c>
      <c r="B112" s="52"/>
      <c r="C112" s="107" t="s">
        <v>80</v>
      </c>
      <c r="D112" s="107"/>
      <c r="E112" s="53" t="s">
        <v>81</v>
      </c>
      <c r="F112" s="54" t="s">
        <v>81</v>
      </c>
      <c r="G112" s="106"/>
      <c r="H112" s="106"/>
      <c r="I112" s="106"/>
      <c r="J112" s="106"/>
    </row>
    <row r="113" spans="1:10" ht="112.5" x14ac:dyDescent="0.25">
      <c r="A113" s="52" t="s">
        <v>82</v>
      </c>
      <c r="B113" s="52"/>
      <c r="C113" s="107" t="s">
        <v>178</v>
      </c>
      <c r="D113" s="107"/>
      <c r="E113" s="53" t="s">
        <v>83</v>
      </c>
      <c r="F113" s="54" t="s">
        <v>83</v>
      </c>
      <c r="G113" s="106" t="s">
        <v>177</v>
      </c>
      <c r="H113" s="106"/>
      <c r="I113" s="106"/>
      <c r="J113" s="106"/>
    </row>
    <row r="114" spans="1:10" ht="18.75" x14ac:dyDescent="0.25">
      <c r="A114" s="52" t="s">
        <v>84</v>
      </c>
      <c r="B114" s="52"/>
      <c r="C114" s="107" t="s">
        <v>85</v>
      </c>
      <c r="D114" s="107"/>
      <c r="E114" s="53" t="s">
        <v>86</v>
      </c>
      <c r="F114" s="54" t="s">
        <v>86</v>
      </c>
      <c r="G114" s="106"/>
      <c r="H114" s="106"/>
      <c r="I114" s="106"/>
      <c r="J114" s="106"/>
    </row>
    <row r="115" spans="1:10" ht="18.75" x14ac:dyDescent="0.25">
      <c r="A115" s="52" t="s">
        <v>87</v>
      </c>
      <c r="B115" s="52"/>
      <c r="C115" s="107" t="s">
        <v>88</v>
      </c>
      <c r="D115" s="107"/>
      <c r="E115" s="56"/>
      <c r="F115" s="54"/>
      <c r="G115" s="106"/>
      <c r="H115" s="106"/>
      <c r="I115" s="106"/>
      <c r="J115" s="106"/>
    </row>
    <row r="116" spans="1:10" ht="18.75" x14ac:dyDescent="0.25">
      <c r="A116" s="52" t="s">
        <v>89</v>
      </c>
      <c r="B116" s="52"/>
      <c r="C116" s="107" t="s">
        <v>90</v>
      </c>
      <c r="D116" s="107"/>
      <c r="E116" s="53"/>
      <c r="F116" s="54"/>
      <c r="G116" s="106"/>
      <c r="H116" s="106"/>
      <c r="I116" s="106"/>
      <c r="J116" s="106"/>
    </row>
    <row r="117" spans="1:10" ht="18.75" x14ac:dyDescent="0.25">
      <c r="A117" s="52" t="s">
        <v>91</v>
      </c>
      <c r="B117" s="52"/>
      <c r="C117" s="107" t="s">
        <v>92</v>
      </c>
      <c r="D117" s="107"/>
      <c r="E117" s="53"/>
      <c r="F117" s="54"/>
      <c r="G117" s="106"/>
      <c r="H117" s="106"/>
      <c r="I117" s="106"/>
      <c r="J117" s="106"/>
    </row>
  </sheetData>
  <sheetProtection formatCells="0" selectLockedCells="1"/>
  <protectedRanges>
    <protectedRange algorithmName="SHA-512" hashValue="PGjgohQUnnOxhZqO28G5mcrQtZctIy7wNPOVW1+dII237qcXh/xTpSoiLN2UeTX/j2Z5lPlypoRtZ1oN5TW7KQ==" saltValue="di47JzD0TUhttBtPZId8Bw==" spinCount="100000" sqref="B51:H57 A48:A57 A20:D20 F20:H20 A14:H19 B34:D34 F34:H34 A21:H31 B32:H33 A32:A41 B35:H41 A42:H47 B50:D50 F50:H50 B48:H49 A58:H81 K14:O81" name="Диапазон1"/>
    <protectedRange algorithmName="SHA-512" hashValue="PGjgohQUnnOxhZqO28G5mcrQtZctIy7wNPOVW1+dII237qcXh/xTpSoiLN2UeTX/j2Z5lPlypoRtZ1oN5TW7KQ==" saltValue="di47JzD0TUhttBtPZId8Bw==" spinCount="100000" sqref="E34 E50 E20" name="Диапазон1_1"/>
  </protectedRanges>
  <autoFilter ref="A16:O81" xr:uid="{00000000-0001-0000-0000-000000000000}"/>
  <mergeCells count="52">
    <mergeCell ref="G102:J102"/>
    <mergeCell ref="B1:O2"/>
    <mergeCell ref="C117:D117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A85:G85"/>
    <mergeCell ref="A14:A15"/>
    <mergeCell ref="B14:B15"/>
    <mergeCell ref="C14:C15"/>
    <mergeCell ref="D14:D15"/>
    <mergeCell ref="E14:E15"/>
    <mergeCell ref="B4:C4"/>
    <mergeCell ref="B5:C5"/>
    <mergeCell ref="B6:C6"/>
    <mergeCell ref="B9:C9"/>
    <mergeCell ref="B10:C10"/>
    <mergeCell ref="O14:O15"/>
    <mergeCell ref="B11:C11"/>
    <mergeCell ref="I14:J14"/>
    <mergeCell ref="K14:K15"/>
    <mergeCell ref="L14:M14"/>
    <mergeCell ref="N14:N15"/>
    <mergeCell ref="G14:G15"/>
    <mergeCell ref="H14:H15"/>
    <mergeCell ref="F14:F15"/>
  </mergeCells>
  <phoneticPr fontId="7" type="noConversion"/>
  <conditionalFormatting sqref="B83:B84 B86:B100">
    <cfRule type="duplicateValues" dxfId="1" priority="1"/>
  </conditionalFormatting>
  <conditionalFormatting sqref="D4:D6 D9:D11">
    <cfRule type="containsBlanks" dxfId="0" priority="2">
      <formula>LEN(TRIM(D4))=0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2E14-A693-4F97-859E-90DD8F150740}">
  <sheetPr codeName="Лист2"/>
  <dimension ref="A1:D14"/>
  <sheetViews>
    <sheetView workbookViewId="0">
      <selection activeCell="C18" sqref="C18"/>
    </sheetView>
  </sheetViews>
  <sheetFormatPr defaultColWidth="9.140625" defaultRowHeight="15.75" x14ac:dyDescent="0.25"/>
  <cols>
    <col min="1" max="1" width="9.140625" style="13"/>
    <col min="2" max="2" width="52.5703125" style="13" customWidth="1"/>
    <col min="3" max="3" width="13.85546875" style="13" customWidth="1"/>
    <col min="4" max="4" width="20.42578125" style="13" customWidth="1"/>
    <col min="5" max="16384" width="9.140625" style="13"/>
  </cols>
  <sheetData>
    <row r="1" spans="1:4" x14ac:dyDescent="0.25">
      <c r="A1" s="21"/>
      <c r="B1" s="112" t="s">
        <v>30</v>
      </c>
      <c r="C1" s="113"/>
      <c r="D1" s="113"/>
    </row>
    <row r="2" spans="1:4" ht="47.25" x14ac:dyDescent="0.25">
      <c r="A2" s="22" t="s">
        <v>0</v>
      </c>
      <c r="B2" s="26" t="s">
        <v>31</v>
      </c>
      <c r="C2" s="22" t="s">
        <v>3</v>
      </c>
      <c r="D2" s="23" t="s">
        <v>32</v>
      </c>
    </row>
    <row r="3" spans="1:4" x14ac:dyDescent="0.25">
      <c r="A3" s="24">
        <v>1</v>
      </c>
      <c r="B3" s="25">
        <v>2</v>
      </c>
      <c r="C3" s="24">
        <v>3</v>
      </c>
      <c r="D3" s="24">
        <v>4</v>
      </c>
    </row>
    <row r="4" spans="1:4" ht="31.5" x14ac:dyDescent="0.25">
      <c r="A4" s="95">
        <v>1</v>
      </c>
      <c r="B4" s="18" t="s">
        <v>130</v>
      </c>
      <c r="C4" s="95" t="s">
        <v>20</v>
      </c>
      <c r="D4" s="96">
        <f>_xlfn.XLOOKUP(B4,КП!D:D,КП!I:I)</f>
        <v>0</v>
      </c>
    </row>
    <row r="5" spans="1:4" x14ac:dyDescent="0.25">
      <c r="A5" s="95">
        <v>2</v>
      </c>
      <c r="B5" s="18" t="s">
        <v>95</v>
      </c>
      <c r="C5" s="95" t="s">
        <v>26</v>
      </c>
      <c r="D5" s="96">
        <f>_xlfn.XLOOKUP(B5,КП!D:D,КП!I:I)</f>
        <v>0</v>
      </c>
    </row>
    <row r="6" spans="1:4" x14ac:dyDescent="0.25">
      <c r="A6" s="95">
        <v>3</v>
      </c>
      <c r="B6" s="18" t="s">
        <v>96</v>
      </c>
      <c r="C6" s="95" t="s">
        <v>20</v>
      </c>
      <c r="D6" s="96">
        <f>_xlfn.XLOOKUP(B6,КП!D:D,КП!I:I)</f>
        <v>0</v>
      </c>
    </row>
    <row r="7" spans="1:4" x14ac:dyDescent="0.25">
      <c r="A7" s="95">
        <v>4</v>
      </c>
      <c r="B7" s="18" t="s">
        <v>131</v>
      </c>
      <c r="C7" s="95" t="s">
        <v>26</v>
      </c>
      <c r="D7" s="96">
        <f>_xlfn.XLOOKUP(B7,КП!D:D,КП!I:I)</f>
        <v>0</v>
      </c>
    </row>
    <row r="8" spans="1:4" x14ac:dyDescent="0.25">
      <c r="A8" s="95">
        <v>5</v>
      </c>
      <c r="B8" s="18" t="s">
        <v>167</v>
      </c>
      <c r="C8" s="95" t="s">
        <v>26</v>
      </c>
      <c r="D8" s="96">
        <f>_xlfn.XLOOKUP(B8,КП!D:D,КП!I:I)</f>
        <v>0</v>
      </c>
    </row>
    <row r="9" spans="1:4" ht="31.5" x14ac:dyDescent="0.25">
      <c r="A9" s="95">
        <v>6</v>
      </c>
      <c r="B9" s="18" t="s">
        <v>129</v>
      </c>
      <c r="C9" s="95" t="s">
        <v>26</v>
      </c>
      <c r="D9" s="96">
        <f>_xlfn.XLOOKUP(B9,КП!D:D,КП!I:I)</f>
        <v>0</v>
      </c>
    </row>
    <row r="10" spans="1:4" x14ac:dyDescent="0.25">
      <c r="A10" s="95">
        <v>7</v>
      </c>
      <c r="B10" s="18" t="s">
        <v>128</v>
      </c>
      <c r="C10" s="95" t="s">
        <v>26</v>
      </c>
      <c r="D10" s="96">
        <f>_xlfn.XLOOKUP(B10,КП!D:D,КП!I:I)</f>
        <v>0</v>
      </c>
    </row>
    <row r="11" spans="1:4" x14ac:dyDescent="0.25">
      <c r="A11" s="95">
        <v>8</v>
      </c>
      <c r="B11" s="12" t="s">
        <v>138</v>
      </c>
      <c r="C11" s="95" t="s">
        <v>26</v>
      </c>
      <c r="D11" s="96">
        <f>_xlfn.XLOOKUP(B11,КП!D:D,КП!I:I)</f>
        <v>0</v>
      </c>
    </row>
    <row r="12" spans="1:4" x14ac:dyDescent="0.25">
      <c r="A12" s="95">
        <v>9</v>
      </c>
      <c r="B12" s="17" t="s">
        <v>140</v>
      </c>
      <c r="C12" s="95" t="s">
        <v>26</v>
      </c>
      <c r="D12" s="96">
        <f>_xlfn.XLOOKUP(B12,КП!D:D,КП!I:I)</f>
        <v>0</v>
      </c>
    </row>
    <row r="13" spans="1:4" ht="31.5" x14ac:dyDescent="0.25">
      <c r="A13" s="95">
        <v>10</v>
      </c>
      <c r="B13" s="18" t="s">
        <v>142</v>
      </c>
      <c r="C13" s="95" t="s">
        <v>20</v>
      </c>
      <c r="D13" s="96">
        <f>_xlfn.XLOOKUP(B13,КП!D:D,КП!I:I)</f>
        <v>0</v>
      </c>
    </row>
    <row r="14" spans="1:4" x14ac:dyDescent="0.25">
      <c r="A14" s="95">
        <v>10</v>
      </c>
      <c r="B14" s="18" t="s">
        <v>176</v>
      </c>
      <c r="C14" s="95" t="s">
        <v>173</v>
      </c>
      <c r="D14" s="96">
        <v>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КП</vt:lpstr>
      <vt:lpstr>БСМ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Квасов Алексей Владимирович</dc:creator>
  <cp:lastModifiedBy>Бубнов Александр Андреевич</cp:lastModifiedBy>
  <dcterms:created xsi:type="dcterms:W3CDTF">2015-06-05T18:19:34Z</dcterms:created>
  <dcterms:modified xsi:type="dcterms:W3CDTF">2025-12-01T15:51:21Z</dcterms:modified>
</cp:coreProperties>
</file>